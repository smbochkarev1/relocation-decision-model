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ing" sheetId="1" state="visible" r:id="rId1"/>
    <sheet name="Sensitivity" sheetId="2" state="visible" r:id="rId2"/>
    <sheet name="Knockouts" sheetId="3" state="visible" r:id="rId3"/>
    <sheet name="Anch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b val="1"/>
      <sz val="9"/>
    </font>
    <font>
      <name val="Calibri"/>
      <b val="1"/>
      <color rgb="000000FF"/>
      <sz val="9"/>
    </font>
    <font>
      <name val="Calibri"/>
      <sz val="9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2" fontId="4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</cols>
  <sheetData>
    <row r="1">
      <c r="A1" s="1" t="inlineStr">
        <is>
          <t>Country</t>
        </is>
      </c>
      <c r="B1" s="1" t="inlineStr">
        <is>
          <t>Region</t>
        </is>
      </c>
      <c r="C1" s="2" t="inlineStr">
        <is>
          <t>Visa &amp; Legalization</t>
        </is>
      </c>
      <c r="D1" s="2" t="inlineStr">
        <is>
          <t>Visa &amp; Legalization</t>
        </is>
      </c>
      <c r="E1" s="2" t="inlineStr">
        <is>
          <t>Visa &amp; Legalization</t>
        </is>
      </c>
      <c r="F1" s="2" t="inlineStr">
        <is>
          <t>Money &amp; Taxes</t>
        </is>
      </c>
      <c r="G1" s="2" t="inlineStr">
        <is>
          <t>Money &amp; Taxes</t>
        </is>
      </c>
      <c r="H1" s="2" t="inlineStr">
        <is>
          <t>Money &amp; Taxes</t>
        </is>
      </c>
      <c r="I1" s="2" t="inlineStr">
        <is>
          <t>Quality of Life</t>
        </is>
      </c>
      <c r="J1" s="2" t="inlineStr">
        <is>
          <t>Quality of Life</t>
        </is>
      </c>
      <c r="K1" s="2" t="inlineStr">
        <is>
          <t>Quality of Life</t>
        </is>
      </c>
      <c r="L1" s="2" t="inlineStr">
        <is>
          <t>Quality of Life</t>
        </is>
      </c>
      <c r="M1" s="2" t="inlineStr">
        <is>
          <t>Quality of Life</t>
        </is>
      </c>
      <c r="N1" s="2" t="inlineStr">
        <is>
          <t>Quality of Life</t>
        </is>
      </c>
      <c r="O1" s="2" t="inlineStr">
        <is>
          <t>Society &amp; Culture</t>
        </is>
      </c>
      <c r="P1" s="2" t="inlineStr">
        <is>
          <t>Society &amp; Culture</t>
        </is>
      </c>
      <c r="Q1" s="2" t="inlineStr">
        <is>
          <t>Society &amp; Culture</t>
        </is>
      </c>
      <c r="R1" s="2" t="inlineStr">
        <is>
          <t>Society &amp; Culture</t>
        </is>
      </c>
      <c r="S1" s="2" t="inlineStr">
        <is>
          <t>Career &amp; Work</t>
        </is>
      </c>
      <c r="T1" s="2" t="inlineStr">
        <is>
          <t>Career &amp; Work</t>
        </is>
      </c>
      <c r="U1" s="2" t="inlineStr">
        <is>
          <t>Logistics</t>
        </is>
      </c>
      <c r="V1" s="2" t="inlineStr">
        <is>
          <t>Logistics</t>
        </is>
      </c>
      <c r="W1" s="2" t="inlineStr">
        <is>
          <t>Lifestyle</t>
        </is>
      </c>
      <c r="X1" s="2" t="inlineStr">
        <is>
          <t>Lifestyle</t>
        </is>
      </c>
      <c r="Y1" s="2" t="inlineStr">
        <is>
          <t>Lifestyle</t>
        </is>
      </c>
      <c r="Z1" s="2" t="inlineStr">
        <is>
          <t>Lifestyle</t>
        </is>
      </c>
      <c r="AA1" s="3" t="inlineStr">
        <is>
          <t>TOTAL</t>
        </is>
      </c>
      <c r="AB1" s="3" t="inlineStr">
        <is>
          <t>RANK</t>
        </is>
      </c>
    </row>
    <row r="2">
      <c r="C2" s="3" t="inlineStr">
        <is>
          <t>A1. Residence path for remote worker / passive income</t>
        </is>
      </c>
      <c r="D2" s="3" t="inlineStr">
        <is>
          <t>A2. Path to permanent residence / citizenship</t>
        </is>
      </c>
      <c r="E2" s="3" t="inlineStr">
        <is>
          <t>A3. Partner's right to live and work</t>
        </is>
      </c>
      <c r="F2" s="3" t="inlineStr">
        <is>
          <t>B1. Cost of living (couple, ex-rent)</t>
        </is>
      </c>
      <c r="G2" s="3" t="inlineStr">
        <is>
          <t>B2. Taxes on foreign / remote income</t>
        </is>
      </c>
      <c r="H2" s="3" t="inlineStr">
        <is>
          <t>B3. Rent (1-2 bed, decent area)</t>
        </is>
      </c>
      <c r="I2" s="3" t="inlineStr">
        <is>
          <t>C1. Personal safety (crime)</t>
        </is>
      </c>
      <c r="J2" s="3" t="inlineStr">
        <is>
          <t>C2. Healthcare (access + quality)</t>
        </is>
      </c>
      <c r="K2" s="3" t="inlineStr">
        <is>
          <t>C3. Climate (Mediterranean preferred)</t>
        </is>
      </c>
      <c r="L2" s="3" t="inlineStr">
        <is>
          <t>C4. Environment / air quality</t>
        </is>
      </c>
      <c r="M2" s="3" t="inlineStr">
        <is>
          <t>C5. Political stability</t>
        </is>
      </c>
      <c r="N2" s="3" t="inlineStr">
        <is>
          <t>C6. Geopolitical risk (3-5 yr horizon)</t>
        </is>
      </c>
      <c r="O2" s="3" t="inlineStr">
        <is>
          <t>D1. Cultural closeness</t>
        </is>
      </c>
      <c r="P2" s="3" t="inlineStr">
        <is>
          <t>D2. Friendliness toward migrants</t>
        </is>
      </c>
      <c r="Q2" s="3" t="inlineStr">
        <is>
          <t>D3. Language barrier (given EN C1/B1)</t>
        </is>
      </c>
      <c r="R2" s="3" t="inlineStr">
        <is>
          <t>D4. Russian-speaking community</t>
        </is>
      </c>
      <c r="S2" s="3" t="inlineStr">
        <is>
          <t>E1. Job market / freelance opportunities</t>
        </is>
      </c>
      <c r="T2" s="3" t="inlineStr">
        <is>
          <t>E2. Diploma recognition / hiring ease</t>
        </is>
      </c>
      <c r="U2" s="3" t="inlineStr">
        <is>
          <t>F1. Distance from home hub</t>
        </is>
      </c>
      <c r="V2" s="3" t="inlineStr">
        <is>
          <t>F2. Travel connectivity (ease of trips, travel visas)</t>
        </is>
      </c>
      <c r="W2" s="3" t="inlineStr">
        <is>
          <t>G1. Food (quality, variety, availability)</t>
        </is>
      </c>
      <c r="X2" s="3" t="inlineStr">
        <is>
          <t>G2. Population density comfort</t>
        </is>
      </c>
      <c r="Y2" s="3" t="inlineStr">
        <is>
          <t>G3. Entertainment / leisure</t>
        </is>
      </c>
      <c r="Z2" s="3" t="inlineStr">
        <is>
          <t>G4. Nature &amp; domestic travel</t>
        </is>
      </c>
      <c r="AA2" s="3" t="inlineStr">
        <is>
          <t>0–10</t>
        </is>
      </c>
    </row>
    <row r="3">
      <c r="A3" s="4" t="inlineStr">
        <is>
          <t>WEIGHT, % →</t>
        </is>
      </c>
      <c r="C3" s="5" t="n">
        <v>8</v>
      </c>
      <c r="D3" s="5" t="n">
        <v>4</v>
      </c>
      <c r="E3" s="5" t="n">
        <v>4</v>
      </c>
      <c r="F3" s="5" t="n">
        <v>7</v>
      </c>
      <c r="G3" s="5" t="n">
        <v>5</v>
      </c>
      <c r="H3" s="5" t="n">
        <v>5</v>
      </c>
      <c r="I3" s="5" t="n">
        <v>4</v>
      </c>
      <c r="J3" s="5" t="n">
        <v>6</v>
      </c>
      <c r="K3" s="5" t="n">
        <v>5</v>
      </c>
      <c r="L3" s="5" t="n">
        <v>2</v>
      </c>
      <c r="M3" s="5" t="n">
        <v>3</v>
      </c>
      <c r="N3" s="5" t="n">
        <v>4</v>
      </c>
      <c r="O3" s="5" t="n">
        <v>3</v>
      </c>
      <c r="P3" s="5" t="n">
        <v>3</v>
      </c>
      <c r="Q3" s="5" t="n">
        <v>2</v>
      </c>
      <c r="R3" s="5" t="n">
        <v>1</v>
      </c>
      <c r="S3" s="5" t="n">
        <v>9</v>
      </c>
      <c r="T3" s="5" t="n">
        <v>6</v>
      </c>
      <c r="U3" s="5" t="n">
        <v>3</v>
      </c>
      <c r="V3" s="5" t="n">
        <v>2</v>
      </c>
      <c r="W3" s="5" t="n">
        <v>4</v>
      </c>
      <c r="X3" s="5" t="n">
        <v>2</v>
      </c>
      <c r="Y3" s="5" t="n">
        <v>4</v>
      </c>
      <c r="Z3" s="5" t="n">
        <v>4</v>
      </c>
      <c r="AA3" s="4">
        <f>SUM(C3:Z3)</f>
        <v/>
      </c>
    </row>
    <row r="4">
      <c r="A4" s="6" t="inlineStr">
        <is>
          <t>Georgia</t>
        </is>
      </c>
      <c r="B4" s="7" t="inlineStr">
        <is>
          <t>Caucasus/Turkey/Gulf</t>
        </is>
      </c>
      <c r="C4" s="8" t="n">
        <v>10</v>
      </c>
      <c r="D4" s="8" t="n">
        <v>6.62</v>
      </c>
      <c r="E4" s="8" t="n">
        <v>10</v>
      </c>
      <c r="F4" s="8" t="n">
        <v>8.220000000000001</v>
      </c>
      <c r="G4" s="8" t="n">
        <v>8.710000000000001</v>
      </c>
      <c r="H4" s="8" t="n">
        <v>8.49</v>
      </c>
      <c r="I4" s="8" t="n">
        <v>7.8</v>
      </c>
      <c r="J4" s="8" t="n">
        <v>3.51</v>
      </c>
      <c r="K4" s="8" t="n">
        <v>8.609999999999999</v>
      </c>
      <c r="L4" s="8" t="n">
        <v>3.35</v>
      </c>
      <c r="M4" s="8" t="n">
        <v>4</v>
      </c>
      <c r="N4" s="8" t="n">
        <v>1</v>
      </c>
      <c r="O4" s="8" t="n">
        <v>7</v>
      </c>
      <c r="P4" s="8" t="n">
        <v>10</v>
      </c>
      <c r="Q4" s="8" t="n">
        <v>6.71</v>
      </c>
      <c r="R4" s="8" t="n">
        <v>8.5</v>
      </c>
      <c r="S4" s="8" t="n">
        <v>2.8</v>
      </c>
      <c r="T4" s="8" t="n">
        <v>4</v>
      </c>
      <c r="U4" s="8" t="n">
        <v>10</v>
      </c>
      <c r="V4" s="8" t="n">
        <v>3.25</v>
      </c>
      <c r="W4" s="8" t="n">
        <v>7.75</v>
      </c>
      <c r="X4" s="8" t="n">
        <v>8.199999999999999</v>
      </c>
      <c r="Y4" s="8" t="n">
        <v>4.6</v>
      </c>
      <c r="Z4" s="8" t="n">
        <v>8.5</v>
      </c>
      <c r="AA4" s="9">
        <f>SUMPRODUCT(C4:Z4,$C$3:$Z$3)/SUM($C$3:$Z$3)</f>
        <v/>
      </c>
      <c r="AB4" s="10" t="n">
        <v>1</v>
      </c>
    </row>
    <row r="5">
      <c r="A5" s="6" t="inlineStr">
        <is>
          <t>Portugal</t>
        </is>
      </c>
      <c r="B5" s="7" t="inlineStr">
        <is>
          <t>Europe/Mediterranean</t>
        </is>
      </c>
      <c r="C5" s="8" t="n">
        <v>5.5</v>
      </c>
      <c r="D5" s="8" t="n">
        <v>6.62</v>
      </c>
      <c r="E5" s="8" t="n">
        <v>10</v>
      </c>
      <c r="F5" s="8" t="n">
        <v>4.22</v>
      </c>
      <c r="G5" s="8" t="n">
        <v>2.29</v>
      </c>
      <c r="H5" s="8" t="n">
        <v>5.06</v>
      </c>
      <c r="I5" s="8" t="n">
        <v>6.58</v>
      </c>
      <c r="J5" s="8" t="n">
        <v>8.32</v>
      </c>
      <c r="K5" s="8" t="n">
        <v>9.93</v>
      </c>
      <c r="L5" s="8" t="n">
        <v>8.94</v>
      </c>
      <c r="M5" s="8" t="n">
        <v>8.5</v>
      </c>
      <c r="N5" s="8" t="n">
        <v>10</v>
      </c>
      <c r="O5" s="8" t="n">
        <v>5.5</v>
      </c>
      <c r="P5" s="8" t="n">
        <v>7.75</v>
      </c>
      <c r="Q5" s="8" t="n">
        <v>9.460000000000001</v>
      </c>
      <c r="R5" s="8" t="n">
        <v>4</v>
      </c>
      <c r="S5" s="8" t="n">
        <v>4.6</v>
      </c>
      <c r="T5" s="8" t="n">
        <v>4</v>
      </c>
      <c r="U5" s="8" t="n">
        <v>7.5</v>
      </c>
      <c r="V5" s="8" t="n">
        <v>10</v>
      </c>
      <c r="W5" s="8" t="n">
        <v>5.5</v>
      </c>
      <c r="X5" s="8" t="n">
        <v>8.199999999999999</v>
      </c>
      <c r="Y5" s="8" t="n">
        <v>8.199999999999999</v>
      </c>
      <c r="Z5" s="8" t="n">
        <v>7</v>
      </c>
      <c r="AA5" s="9">
        <f>SUMPRODUCT(C5:Z5,$C$3:$Z$3)/SUM($C$3:$Z$3)</f>
        <v/>
      </c>
      <c r="AB5" s="10" t="n">
        <v>2</v>
      </c>
    </row>
    <row r="6">
      <c r="A6" s="6" t="inlineStr">
        <is>
          <t>Spain</t>
        </is>
      </c>
      <c r="B6" s="7" t="inlineStr">
        <is>
          <t>Europe/Mediterranean</t>
        </is>
      </c>
      <c r="C6" s="8" t="n">
        <v>4</v>
      </c>
      <c r="D6" s="8" t="n">
        <v>6.62</v>
      </c>
      <c r="E6" s="8" t="n">
        <v>10</v>
      </c>
      <c r="F6" s="8" t="n">
        <v>3.51</v>
      </c>
      <c r="G6" s="8" t="n">
        <v>1</v>
      </c>
      <c r="H6" s="8" t="n">
        <v>5.6</v>
      </c>
      <c r="I6" s="8" t="n">
        <v>5.75</v>
      </c>
      <c r="J6" s="8" t="n">
        <v>9.91</v>
      </c>
      <c r="K6" s="8" t="n">
        <v>9.220000000000001</v>
      </c>
      <c r="L6" s="8" t="n">
        <v>8.140000000000001</v>
      </c>
      <c r="M6" s="8" t="n">
        <v>8.5</v>
      </c>
      <c r="N6" s="8" t="n">
        <v>10</v>
      </c>
      <c r="O6" s="8" t="n">
        <v>5.5</v>
      </c>
      <c r="P6" s="8" t="n">
        <v>7.75</v>
      </c>
      <c r="Q6" s="8" t="n">
        <v>6.48</v>
      </c>
      <c r="R6" s="8" t="n">
        <v>5.5</v>
      </c>
      <c r="S6" s="8" t="n">
        <v>4.6</v>
      </c>
      <c r="T6" s="8" t="n">
        <v>4</v>
      </c>
      <c r="U6" s="8" t="n">
        <v>7.86</v>
      </c>
      <c r="V6" s="8" t="n">
        <v>10</v>
      </c>
      <c r="W6" s="8" t="n">
        <v>7.75</v>
      </c>
      <c r="X6" s="8" t="n">
        <v>8.199999999999999</v>
      </c>
      <c r="Y6" s="8" t="n">
        <v>10</v>
      </c>
      <c r="Z6" s="8" t="n">
        <v>8.5</v>
      </c>
      <c r="AA6" s="9">
        <f>SUMPRODUCT(C6:Z6,$C$3:$Z$3)/SUM($C$3:$Z$3)</f>
        <v/>
      </c>
      <c r="AB6" s="10" t="n">
        <v>3</v>
      </c>
    </row>
    <row r="7">
      <c r="A7" s="6" t="inlineStr">
        <is>
          <t>Turkey</t>
        </is>
      </c>
      <c r="B7" s="7" t="inlineStr">
        <is>
          <t>Caucasus/Turkey/Gulf</t>
        </is>
      </c>
      <c r="C7" s="8" t="n">
        <v>5.5</v>
      </c>
      <c r="D7" s="8" t="n">
        <v>6.62</v>
      </c>
      <c r="E7" s="8" t="n">
        <v>7</v>
      </c>
      <c r="F7" s="8" t="n">
        <v>6.66</v>
      </c>
      <c r="G7" s="8" t="n">
        <v>4.86</v>
      </c>
      <c r="H7" s="8" t="n">
        <v>8.32</v>
      </c>
      <c r="I7" s="8" t="n">
        <v>5.05</v>
      </c>
      <c r="J7" s="8" t="n">
        <v>8.1</v>
      </c>
      <c r="K7" s="8" t="n">
        <v>8.82</v>
      </c>
      <c r="L7" s="8" t="n">
        <v>3.92</v>
      </c>
      <c r="M7" s="8" t="n">
        <v>5.5</v>
      </c>
      <c r="N7" s="8" t="n">
        <v>6.62</v>
      </c>
      <c r="O7" s="8" t="n">
        <v>4</v>
      </c>
      <c r="P7" s="8" t="n">
        <v>5.5</v>
      </c>
      <c r="Q7" s="8" t="n">
        <v>4.65</v>
      </c>
      <c r="R7" s="8" t="n">
        <v>10</v>
      </c>
      <c r="S7" s="8" t="n">
        <v>4.6</v>
      </c>
      <c r="T7" s="8" t="n">
        <v>4</v>
      </c>
      <c r="U7" s="8" t="n">
        <v>10</v>
      </c>
      <c r="V7" s="8" t="n">
        <v>7.75</v>
      </c>
      <c r="W7" s="8" t="n">
        <v>7.75</v>
      </c>
      <c r="X7" s="8" t="n">
        <v>6.4</v>
      </c>
      <c r="Y7" s="8" t="n">
        <v>8.199999999999999</v>
      </c>
      <c r="Z7" s="8" t="n">
        <v>8.5</v>
      </c>
      <c r="AA7" s="9">
        <f>SUMPRODUCT(C7:Z7,$C$3:$Z$3)/SUM($C$3:$Z$3)</f>
        <v/>
      </c>
      <c r="AB7" s="10" t="n">
        <v>4</v>
      </c>
    </row>
    <row r="8">
      <c r="A8" s="6" t="inlineStr">
        <is>
          <t>UAE</t>
        </is>
      </c>
      <c r="B8" s="7" t="inlineStr">
        <is>
          <t>Caucasus/Turkey/Gulf</t>
        </is>
      </c>
      <c r="C8" s="8" t="n">
        <v>7</v>
      </c>
      <c r="D8" s="8" t="n">
        <v>2.12</v>
      </c>
      <c r="E8" s="8" t="n">
        <v>1</v>
      </c>
      <c r="F8" s="8" t="n">
        <v>2.59</v>
      </c>
      <c r="G8" s="8" t="n">
        <v>10</v>
      </c>
      <c r="H8" s="8" t="n">
        <v>1.1</v>
      </c>
      <c r="I8" s="8" t="n">
        <v>10</v>
      </c>
      <c r="J8" s="8" t="n">
        <v>7.95</v>
      </c>
      <c r="K8" s="8" t="n">
        <v>2.22</v>
      </c>
      <c r="L8" s="8" t="n">
        <v>6.22</v>
      </c>
      <c r="M8" s="8" t="n">
        <v>10</v>
      </c>
      <c r="N8" s="8" t="n">
        <v>6.62</v>
      </c>
      <c r="O8" s="8" t="n">
        <v>2.5</v>
      </c>
      <c r="P8" s="8" t="n">
        <v>3.25</v>
      </c>
      <c r="Q8" s="8" t="n">
        <v>4.29</v>
      </c>
      <c r="R8" s="8" t="n">
        <v>8.5</v>
      </c>
      <c r="S8" s="8" t="n">
        <v>10</v>
      </c>
      <c r="T8" s="8" t="n">
        <v>10</v>
      </c>
      <c r="U8" s="8" t="n">
        <v>9.640000000000001</v>
      </c>
      <c r="V8" s="8" t="n">
        <v>10</v>
      </c>
      <c r="W8" s="8" t="n">
        <v>5.5</v>
      </c>
      <c r="X8" s="8" t="n">
        <v>4.6</v>
      </c>
      <c r="Y8" s="8" t="n">
        <v>10</v>
      </c>
      <c r="Z8" s="8" t="n">
        <v>4</v>
      </c>
      <c r="AA8" s="9">
        <f>SUMPRODUCT(C8:Z8,$C$3:$Z$3)/SUM($C$3:$Z$3)</f>
        <v/>
      </c>
      <c r="AB8" s="10" t="n">
        <v>5</v>
      </c>
    </row>
    <row r="9">
      <c r="A9" s="6" t="inlineStr">
        <is>
          <t>Mexico</t>
        </is>
      </c>
      <c r="B9" s="7" t="inlineStr">
        <is>
          <t>LatAm</t>
        </is>
      </c>
      <c r="C9" s="8" t="n">
        <v>5.5</v>
      </c>
      <c r="D9" s="8" t="n">
        <v>7.75</v>
      </c>
      <c r="E9" s="8" t="n">
        <v>10</v>
      </c>
      <c r="F9" s="8" t="n">
        <v>5.8</v>
      </c>
      <c r="G9" s="8" t="n">
        <v>4.86</v>
      </c>
      <c r="H9" s="8" t="n">
        <v>7.09</v>
      </c>
      <c r="I9" s="8" t="n">
        <v>3</v>
      </c>
      <c r="J9" s="8" t="n">
        <v>8.41</v>
      </c>
      <c r="K9" s="8" t="n">
        <v>8.34</v>
      </c>
      <c r="L9" s="8" t="n">
        <v>4.75</v>
      </c>
      <c r="M9" s="8" t="n">
        <v>5.5</v>
      </c>
      <c r="N9" s="8" t="n">
        <v>7.75</v>
      </c>
      <c r="O9" s="8" t="n">
        <v>2.5</v>
      </c>
      <c r="P9" s="8" t="n">
        <v>7.75</v>
      </c>
      <c r="Q9" s="8" t="n">
        <v>2.95</v>
      </c>
      <c r="R9" s="8" t="n">
        <v>2.5</v>
      </c>
      <c r="S9" s="8" t="n">
        <v>4.6</v>
      </c>
      <c r="T9" s="8" t="n">
        <v>4</v>
      </c>
      <c r="U9" s="8" t="n">
        <v>5</v>
      </c>
      <c r="V9" s="8" t="n">
        <v>5.5</v>
      </c>
      <c r="W9" s="8" t="n">
        <v>7.75</v>
      </c>
      <c r="X9" s="8" t="n">
        <v>6.4</v>
      </c>
      <c r="Y9" s="8" t="n">
        <v>8.199999999999999</v>
      </c>
      <c r="Z9" s="8" t="n">
        <v>8.5</v>
      </c>
      <c r="AA9" s="9">
        <f>SUMPRODUCT(C9:Z9,$C$3:$Z$3)/SUM($C$3:$Z$3)</f>
        <v/>
      </c>
      <c r="AB9" s="10" t="n">
        <v>6</v>
      </c>
    </row>
    <row r="10">
      <c r="A10" s="6" t="inlineStr">
        <is>
          <t>Thailand</t>
        </is>
      </c>
      <c r="B10" s="7" t="inlineStr">
        <is>
          <t>Asia</t>
        </is>
      </c>
      <c r="C10" s="8" t="n">
        <v>7</v>
      </c>
      <c r="D10" s="8" t="n">
        <v>3.25</v>
      </c>
      <c r="E10" s="8" t="n">
        <v>4</v>
      </c>
      <c r="F10" s="8" t="n">
        <v>6.97</v>
      </c>
      <c r="G10" s="8" t="n">
        <v>7.43</v>
      </c>
      <c r="H10" s="8" t="n">
        <v>8.16</v>
      </c>
      <c r="I10" s="8" t="n">
        <v>5.93</v>
      </c>
      <c r="J10" s="8" t="n">
        <v>10</v>
      </c>
      <c r="K10" s="8" t="n">
        <v>5.71</v>
      </c>
      <c r="L10" s="8" t="n">
        <v>2.2</v>
      </c>
      <c r="M10" s="8" t="n">
        <v>4</v>
      </c>
      <c r="N10" s="8" t="n">
        <v>8.880000000000001</v>
      </c>
      <c r="O10" s="8" t="n">
        <v>2.5</v>
      </c>
      <c r="P10" s="8" t="n">
        <v>7.75</v>
      </c>
      <c r="Q10" s="8" t="n">
        <v>1</v>
      </c>
      <c r="R10" s="8" t="n">
        <v>7</v>
      </c>
      <c r="S10" s="8" t="n">
        <v>2.8</v>
      </c>
      <c r="T10" s="8" t="n">
        <v>1</v>
      </c>
      <c r="U10" s="8" t="n">
        <v>7.86</v>
      </c>
      <c r="V10" s="8" t="n">
        <v>7.75</v>
      </c>
      <c r="W10" s="8" t="n">
        <v>7.75</v>
      </c>
      <c r="X10" s="8" t="n">
        <v>6.4</v>
      </c>
      <c r="Y10" s="8" t="n">
        <v>10</v>
      </c>
      <c r="Z10" s="8" t="n">
        <v>10</v>
      </c>
      <c r="AA10" s="9">
        <f>SUMPRODUCT(C10:Z10,$C$3:$Z$3)/SUM($C$3:$Z$3)</f>
        <v/>
      </c>
      <c r="AB10" s="10" t="n">
        <v>7</v>
      </c>
    </row>
    <row r="11">
      <c r="A11" s="6" t="inlineStr">
        <is>
          <t>Serbia</t>
        </is>
      </c>
      <c r="B11" s="7" t="inlineStr">
        <is>
          <t>Europe/Mediterranean</t>
        </is>
      </c>
      <c r="C11" s="8" t="n">
        <v>8.5</v>
      </c>
      <c r="D11" s="8" t="n">
        <v>6.62</v>
      </c>
      <c r="E11" s="8" t="n">
        <v>10</v>
      </c>
      <c r="F11" s="8" t="n">
        <v>5.8</v>
      </c>
      <c r="G11" s="8" t="n">
        <v>4.86</v>
      </c>
      <c r="H11" s="8" t="n">
        <v>8.380000000000001</v>
      </c>
      <c r="I11" s="8" t="n">
        <v>5.86</v>
      </c>
      <c r="J11" s="8" t="n">
        <v>2.22</v>
      </c>
      <c r="K11" s="8" t="n">
        <v>7.79</v>
      </c>
      <c r="L11" s="8" t="n">
        <v>3.64</v>
      </c>
      <c r="M11" s="8" t="n">
        <v>7</v>
      </c>
      <c r="N11" s="8" t="n">
        <v>5.5</v>
      </c>
      <c r="O11" s="8" t="n">
        <v>10</v>
      </c>
      <c r="P11" s="8" t="n">
        <v>5.5</v>
      </c>
      <c r="Q11" s="8" t="n">
        <v>7.81</v>
      </c>
      <c r="R11" s="8" t="n">
        <v>8.5</v>
      </c>
      <c r="S11" s="8" t="n">
        <v>2.8</v>
      </c>
      <c r="T11" s="8" t="n">
        <v>4</v>
      </c>
      <c r="U11" s="8" t="n">
        <v>10</v>
      </c>
      <c r="V11" s="8" t="n">
        <v>5.5</v>
      </c>
      <c r="W11" s="8" t="n">
        <v>5.5</v>
      </c>
      <c r="X11" s="8" t="n">
        <v>6.4</v>
      </c>
      <c r="Y11" s="8" t="n">
        <v>6.4</v>
      </c>
      <c r="Z11" s="8" t="n">
        <v>4</v>
      </c>
      <c r="AA11" s="9">
        <f>SUMPRODUCT(C11:Z11,$C$3:$Z$3)/SUM($C$3:$Z$3)</f>
        <v/>
      </c>
      <c r="AB11" s="10" t="n">
        <v>8</v>
      </c>
    </row>
    <row r="12">
      <c r="A12" s="6" t="inlineStr">
        <is>
          <t>Costa Rica</t>
        </is>
      </c>
      <c r="B12" s="7" t="inlineStr">
        <is>
          <t>LatAm</t>
        </is>
      </c>
      <c r="C12" s="8" t="n">
        <v>5.5</v>
      </c>
      <c r="D12" s="8" t="n">
        <v>6.62</v>
      </c>
      <c r="E12" s="8" t="n">
        <v>10</v>
      </c>
      <c r="F12" s="8" t="n">
        <v>3.17</v>
      </c>
      <c r="G12" s="8" t="n">
        <v>8.710000000000001</v>
      </c>
      <c r="H12" s="8" t="n">
        <v>6.41</v>
      </c>
      <c r="I12" s="8" t="n">
        <v>2.82</v>
      </c>
      <c r="J12" s="8" t="n">
        <v>6.11</v>
      </c>
      <c r="K12" s="8" t="n">
        <v>9.26</v>
      </c>
      <c r="L12" s="8" t="n">
        <v>7.24</v>
      </c>
      <c r="M12" s="8" t="n">
        <v>10</v>
      </c>
      <c r="N12" s="8" t="n">
        <v>10</v>
      </c>
      <c r="O12" s="8" t="n">
        <v>2.5</v>
      </c>
      <c r="P12" s="8" t="n">
        <v>7.75</v>
      </c>
      <c r="Q12" s="8" t="n">
        <v>6.3</v>
      </c>
      <c r="R12" s="8" t="n">
        <v>1</v>
      </c>
      <c r="S12" s="8" t="n">
        <v>4.6</v>
      </c>
      <c r="T12" s="8" t="n">
        <v>4</v>
      </c>
      <c r="U12" s="8" t="n">
        <v>3.57</v>
      </c>
      <c r="V12" s="8" t="n">
        <v>3.25</v>
      </c>
      <c r="W12" s="8" t="n">
        <v>3.25</v>
      </c>
      <c r="X12" s="8" t="n">
        <v>8.199999999999999</v>
      </c>
      <c r="Y12" s="8" t="n">
        <v>4.6</v>
      </c>
      <c r="Z12" s="8" t="n">
        <v>10</v>
      </c>
      <c r="AA12" s="9">
        <f>SUMPRODUCT(C12:Z12,$C$3:$Z$3)/SUM($C$3:$Z$3)</f>
        <v/>
      </c>
      <c r="AB12" s="10" t="n">
        <v>9</v>
      </c>
    </row>
    <row r="13">
      <c r="A13" s="6" t="inlineStr">
        <is>
          <t>Argentina</t>
        </is>
      </c>
      <c r="B13" s="7" t="inlineStr">
        <is>
          <t>LatAm</t>
        </is>
      </c>
      <c r="C13" s="8" t="n">
        <v>5.5</v>
      </c>
      <c r="D13" s="8" t="n">
        <v>10</v>
      </c>
      <c r="E13" s="8" t="n">
        <v>10</v>
      </c>
      <c r="F13" s="8" t="n">
        <v>6.13</v>
      </c>
      <c r="G13" s="8" t="n">
        <v>2.29</v>
      </c>
      <c r="H13" s="8" t="n">
        <v>8.66</v>
      </c>
      <c r="I13" s="8" t="n">
        <v>1.14</v>
      </c>
      <c r="J13" s="8" t="n">
        <v>7.03</v>
      </c>
      <c r="K13" s="8" t="n">
        <v>9.59</v>
      </c>
      <c r="L13" s="8" t="n">
        <v>5.91</v>
      </c>
      <c r="M13" s="8" t="n">
        <v>4</v>
      </c>
      <c r="N13" s="8" t="n">
        <v>8.880000000000001</v>
      </c>
      <c r="O13" s="8" t="n">
        <v>4</v>
      </c>
      <c r="P13" s="8" t="n">
        <v>7.75</v>
      </c>
      <c r="Q13" s="8" t="n">
        <v>7.54</v>
      </c>
      <c r="R13" s="8" t="n">
        <v>4</v>
      </c>
      <c r="S13" s="8" t="n">
        <v>2.8</v>
      </c>
      <c r="T13" s="8" t="n">
        <v>4</v>
      </c>
      <c r="U13" s="8" t="n">
        <v>1.43</v>
      </c>
      <c r="V13" s="8" t="n">
        <v>3.25</v>
      </c>
      <c r="W13" s="8" t="n">
        <v>7.75</v>
      </c>
      <c r="X13" s="8" t="n">
        <v>6.4</v>
      </c>
      <c r="Y13" s="8" t="n">
        <v>8.199999999999999</v>
      </c>
      <c r="Z13" s="8" t="n">
        <v>8.5</v>
      </c>
      <c r="AA13" s="9">
        <f>SUMPRODUCT(C13:Z13,$C$3:$Z$3)/SUM($C$3:$Z$3)</f>
        <v/>
      </c>
      <c r="AB13" s="10" t="n">
        <v>10</v>
      </c>
    </row>
    <row r="14">
      <c r="A14" s="6" t="inlineStr">
        <is>
          <t>Brazil</t>
        </is>
      </c>
      <c r="B14" s="7" t="inlineStr">
        <is>
          <t>LatAm</t>
        </is>
      </c>
      <c r="C14" s="8" t="n">
        <v>5.5</v>
      </c>
      <c r="D14" s="8" t="n">
        <v>7.75</v>
      </c>
      <c r="E14" s="8" t="n">
        <v>10</v>
      </c>
      <c r="F14" s="8" t="n">
        <v>8.99</v>
      </c>
      <c r="G14" s="8" t="n">
        <v>2.29</v>
      </c>
      <c r="H14" s="8" t="n">
        <v>9.640000000000001</v>
      </c>
      <c r="I14" s="8" t="n">
        <v>1</v>
      </c>
      <c r="J14" s="8" t="n">
        <v>4.43</v>
      </c>
      <c r="K14" s="8" t="n">
        <v>9.18</v>
      </c>
      <c r="L14" s="8" t="n">
        <v>5.56</v>
      </c>
      <c r="M14" s="8" t="n">
        <v>7</v>
      </c>
      <c r="N14" s="8" t="n">
        <v>8.880000000000001</v>
      </c>
      <c r="O14" s="8" t="n">
        <v>2.5</v>
      </c>
      <c r="P14" s="8" t="n">
        <v>7.75</v>
      </c>
      <c r="Q14" s="8" t="n">
        <v>3.28</v>
      </c>
      <c r="R14" s="8" t="n">
        <v>2.5</v>
      </c>
      <c r="S14" s="8" t="n">
        <v>2.8</v>
      </c>
      <c r="T14" s="8" t="n">
        <v>4</v>
      </c>
      <c r="U14" s="8" t="n">
        <v>5.71</v>
      </c>
      <c r="V14" s="8" t="n">
        <v>3.25</v>
      </c>
      <c r="W14" s="8" t="n">
        <v>5.5</v>
      </c>
      <c r="X14" s="8" t="n">
        <v>4.6</v>
      </c>
      <c r="Y14" s="8" t="n">
        <v>8.199999999999999</v>
      </c>
      <c r="Z14" s="8" t="n">
        <v>10</v>
      </c>
      <c r="AA14" s="9">
        <f>SUMPRODUCT(C14:Z14,$C$3:$Z$3)/SUM($C$3:$Z$3)</f>
        <v/>
      </c>
      <c r="AB14" s="10" t="n">
        <v>11</v>
      </c>
    </row>
    <row r="15">
      <c r="A15" s="6" t="inlineStr">
        <is>
          <t>Malaysia</t>
        </is>
      </c>
      <c r="B15" s="7" t="inlineStr">
        <is>
          <t>Asia</t>
        </is>
      </c>
      <c r="C15" s="8" t="n">
        <v>4</v>
      </c>
      <c r="D15" s="8" t="n">
        <v>4.38</v>
      </c>
      <c r="E15" s="8" t="n">
        <v>4</v>
      </c>
      <c r="F15" s="8" t="n">
        <v>7.99</v>
      </c>
      <c r="G15" s="8" t="n">
        <v>7.43</v>
      </c>
      <c r="H15" s="8" t="n">
        <v>9.44</v>
      </c>
      <c r="I15" s="8" t="n">
        <v>3.88</v>
      </c>
      <c r="J15" s="8" t="n">
        <v>7.92</v>
      </c>
      <c r="K15" s="8" t="n">
        <v>4.3</v>
      </c>
      <c r="L15" s="8" t="n">
        <v>4.41</v>
      </c>
      <c r="M15" s="8" t="n">
        <v>4</v>
      </c>
      <c r="N15" s="8" t="n">
        <v>7.75</v>
      </c>
      <c r="O15" s="8" t="n">
        <v>1</v>
      </c>
      <c r="P15" s="8" t="n">
        <v>5.5</v>
      </c>
      <c r="Q15" s="8" t="n">
        <v>7.72</v>
      </c>
      <c r="R15" s="8" t="n">
        <v>4</v>
      </c>
      <c r="S15" s="8" t="n">
        <v>4.6</v>
      </c>
      <c r="T15" s="8" t="n">
        <v>7</v>
      </c>
      <c r="U15" s="8" t="n">
        <v>7.14</v>
      </c>
      <c r="V15" s="8" t="n">
        <v>7.75</v>
      </c>
      <c r="W15" s="8" t="n">
        <v>5.5</v>
      </c>
      <c r="X15" s="8" t="n">
        <v>6.4</v>
      </c>
      <c r="Y15" s="8" t="n">
        <v>6.4</v>
      </c>
      <c r="Z15" s="8" t="n">
        <v>8.5</v>
      </c>
      <c r="AA15" s="9">
        <f>SUMPRODUCT(C15:Z15,$C$3:$Z$3)/SUM($C$3:$Z$3)</f>
        <v/>
      </c>
      <c r="AB15" s="10" t="n">
        <v>12</v>
      </c>
    </row>
    <row r="16">
      <c r="A16" s="6" t="inlineStr">
        <is>
          <t>Uruguay</t>
        </is>
      </c>
      <c r="B16" s="7" t="inlineStr">
        <is>
          <t>LatAm</t>
        </is>
      </c>
      <c r="C16" s="8" t="n">
        <v>5.5</v>
      </c>
      <c r="D16" s="8" t="n">
        <v>8.880000000000001</v>
      </c>
      <c r="E16" s="8" t="n">
        <v>10</v>
      </c>
      <c r="F16" s="8" t="n">
        <v>2.48</v>
      </c>
      <c r="G16" s="8" t="n">
        <v>7.43</v>
      </c>
      <c r="H16" s="8" t="n">
        <v>7.94</v>
      </c>
      <c r="I16" s="8" t="n">
        <v>3.07</v>
      </c>
      <c r="J16" s="8" t="n">
        <v>7.24</v>
      </c>
      <c r="K16" s="8" t="n">
        <v>10</v>
      </c>
      <c r="L16" s="8" t="n">
        <v>7.03</v>
      </c>
      <c r="M16" s="8" t="n">
        <v>10</v>
      </c>
      <c r="N16" s="8" t="n">
        <v>10</v>
      </c>
      <c r="O16" s="8" t="n">
        <v>4</v>
      </c>
      <c r="P16" s="8" t="n">
        <v>7.75</v>
      </c>
      <c r="Q16" s="8" t="n">
        <v>6.48</v>
      </c>
      <c r="R16" s="8" t="n">
        <v>1</v>
      </c>
      <c r="S16" s="8" t="n">
        <v>2.8</v>
      </c>
      <c r="T16" s="8" t="n">
        <v>4</v>
      </c>
      <c r="U16" s="8" t="n">
        <v>1</v>
      </c>
      <c r="V16" s="8" t="n">
        <v>3.25</v>
      </c>
      <c r="W16" s="8" t="n">
        <v>5.5</v>
      </c>
      <c r="X16" s="8" t="n">
        <v>10</v>
      </c>
      <c r="Y16" s="8" t="n">
        <v>4.6</v>
      </c>
      <c r="Z16" s="8" t="n">
        <v>5.5</v>
      </c>
      <c r="AA16" s="9">
        <f>SUMPRODUCT(C16:Z16,$C$3:$Z$3)/SUM($C$3:$Z$3)</f>
        <v/>
      </c>
      <c r="AB16" s="10" t="n">
        <v>13</v>
      </c>
    </row>
    <row r="17">
      <c r="A17" s="6" t="inlineStr">
        <is>
          <t>Czechia</t>
        </is>
      </c>
      <c r="B17" s="7" t="inlineStr">
        <is>
          <t>Europe/Mediterranean</t>
        </is>
      </c>
      <c r="C17" s="8" t="n">
        <v>1</v>
      </c>
      <c r="D17" s="8" t="n">
        <v>5.5</v>
      </c>
      <c r="E17" s="8" t="n">
        <v>7</v>
      </c>
      <c r="F17" s="8" t="n">
        <v>3.14</v>
      </c>
      <c r="G17" s="8" t="n">
        <v>3.57</v>
      </c>
      <c r="H17" s="8" t="n">
        <v>6.29</v>
      </c>
      <c r="I17" s="8" t="n">
        <v>7.77</v>
      </c>
      <c r="J17" s="8" t="n">
        <v>9.539999999999999</v>
      </c>
      <c r="K17" s="8" t="n">
        <v>7.08</v>
      </c>
      <c r="L17" s="8" t="n">
        <v>8.380000000000001</v>
      </c>
      <c r="M17" s="8" t="n">
        <v>8.5</v>
      </c>
      <c r="N17" s="8" t="n">
        <v>8.880000000000001</v>
      </c>
      <c r="O17" s="8" t="n">
        <v>7</v>
      </c>
      <c r="P17" s="8" t="n">
        <v>3.25</v>
      </c>
      <c r="Q17" s="8" t="n">
        <v>7.78</v>
      </c>
      <c r="R17" s="8" t="n">
        <v>5.5</v>
      </c>
      <c r="S17" s="8" t="n">
        <v>4.6</v>
      </c>
      <c r="T17" s="8" t="n">
        <v>7</v>
      </c>
      <c r="U17" s="8" t="n">
        <v>8.210000000000001</v>
      </c>
      <c r="V17" s="8" t="n">
        <v>10</v>
      </c>
      <c r="W17" s="8" t="n">
        <v>3.25</v>
      </c>
      <c r="X17" s="8" t="n">
        <v>6.4</v>
      </c>
      <c r="Y17" s="8" t="n">
        <v>8.199999999999999</v>
      </c>
      <c r="Z17" s="8" t="n">
        <v>5.5</v>
      </c>
      <c r="AA17" s="9">
        <f>SUMPRODUCT(C17:Z17,$C$3:$Z$3)/SUM($C$3:$Z$3)</f>
        <v/>
      </c>
      <c r="AB17" s="10" t="n">
        <v>14</v>
      </c>
    </row>
    <row r="18">
      <c r="A18" s="6" t="inlineStr">
        <is>
          <t>Croatia</t>
        </is>
      </c>
      <c r="B18" s="7" t="inlineStr">
        <is>
          <t>Europe/Mediterranean</t>
        </is>
      </c>
      <c r="C18" s="8" t="n">
        <v>5.5</v>
      </c>
      <c r="D18" s="8" t="n">
        <v>3.25</v>
      </c>
      <c r="E18" s="8" t="n">
        <v>7</v>
      </c>
      <c r="F18" s="8" t="n">
        <v>3.3</v>
      </c>
      <c r="G18" s="8" t="n">
        <v>6.14</v>
      </c>
      <c r="H18" s="8" t="n">
        <v>7.04</v>
      </c>
      <c r="I18" s="8" t="n">
        <v>8.15</v>
      </c>
      <c r="J18" s="8" t="n">
        <v>6.2</v>
      </c>
      <c r="K18" s="8" t="n">
        <v>8.41</v>
      </c>
      <c r="L18" s="8" t="n">
        <v>8.66</v>
      </c>
      <c r="M18" s="8" t="n">
        <v>8.5</v>
      </c>
      <c r="N18" s="8" t="n">
        <v>8.880000000000001</v>
      </c>
      <c r="O18" s="8" t="n">
        <v>7</v>
      </c>
      <c r="P18" s="8" t="n">
        <v>5.5</v>
      </c>
      <c r="Q18" s="8" t="n">
        <v>9.550000000000001</v>
      </c>
      <c r="R18" s="8" t="n">
        <v>4</v>
      </c>
      <c r="S18" s="8" t="n">
        <v>2.8</v>
      </c>
      <c r="T18" s="8" t="n">
        <v>1</v>
      </c>
      <c r="U18" s="8" t="n">
        <v>8.210000000000001</v>
      </c>
      <c r="V18" s="8" t="n">
        <v>10</v>
      </c>
      <c r="W18" s="8" t="n">
        <v>3.25</v>
      </c>
      <c r="X18" s="8" t="n">
        <v>8.199999999999999</v>
      </c>
      <c r="Y18" s="8" t="n">
        <v>6.4</v>
      </c>
      <c r="Z18" s="8" t="n">
        <v>8.5</v>
      </c>
      <c r="AA18" s="9">
        <f>SUMPRODUCT(C18:Z18,$C$3:$Z$3)/SUM($C$3:$Z$3)</f>
        <v/>
      </c>
      <c r="AB18" s="10" t="n">
        <v>15</v>
      </c>
    </row>
    <row r="19">
      <c r="A19" s="6" t="inlineStr">
        <is>
          <t>Italy</t>
        </is>
      </c>
      <c r="B19" s="7" t="inlineStr">
        <is>
          <t>Europe/Mediterranean</t>
        </is>
      </c>
      <c r="C19" s="8" t="n">
        <v>4</v>
      </c>
      <c r="D19" s="8" t="n">
        <v>6.62</v>
      </c>
      <c r="E19" s="8" t="n">
        <v>10</v>
      </c>
      <c r="F19" s="8" t="n">
        <v>1</v>
      </c>
      <c r="G19" s="8" t="n">
        <v>3.57</v>
      </c>
      <c r="H19" s="8" t="n">
        <v>6.35</v>
      </c>
      <c r="I19" s="8" t="n">
        <v>4.01</v>
      </c>
      <c r="J19" s="8" t="n">
        <v>6.14</v>
      </c>
      <c r="K19" s="8" t="n">
        <v>8.800000000000001</v>
      </c>
      <c r="L19" s="8" t="n">
        <v>5.51</v>
      </c>
      <c r="M19" s="8" t="n">
        <v>5.5</v>
      </c>
      <c r="N19" s="8" t="n">
        <v>8.880000000000001</v>
      </c>
      <c r="O19" s="8" t="n">
        <v>5.5</v>
      </c>
      <c r="P19" s="8" t="n">
        <v>5.5</v>
      </c>
      <c r="Q19" s="8" t="n">
        <v>6.04</v>
      </c>
      <c r="R19" s="8" t="n">
        <v>4</v>
      </c>
      <c r="S19" s="8" t="n">
        <v>2.8</v>
      </c>
      <c r="T19" s="8" t="n">
        <v>4</v>
      </c>
      <c r="U19" s="8" t="n">
        <v>8.57</v>
      </c>
      <c r="V19" s="8" t="n">
        <v>10</v>
      </c>
      <c r="W19" s="8" t="n">
        <v>10</v>
      </c>
      <c r="X19" s="8" t="n">
        <v>6.4</v>
      </c>
      <c r="Y19" s="8" t="n">
        <v>10</v>
      </c>
      <c r="Z19" s="8" t="n">
        <v>8.5</v>
      </c>
      <c r="AA19" s="9">
        <f>SUMPRODUCT(C19:Z19,$C$3:$Z$3)/SUM($C$3:$Z$3)</f>
        <v/>
      </c>
      <c r="AB19" s="10" t="n">
        <v>16</v>
      </c>
    </row>
    <row r="20">
      <c r="A20" s="6" t="inlineStr">
        <is>
          <t>Greece</t>
        </is>
      </c>
      <c r="B20" s="7" t="inlineStr">
        <is>
          <t>Europe/Mediterranean</t>
        </is>
      </c>
      <c r="C20" s="8" t="n">
        <v>5.5</v>
      </c>
      <c r="D20" s="8" t="n">
        <v>6.62</v>
      </c>
      <c r="E20" s="8" t="n">
        <v>10</v>
      </c>
      <c r="F20" s="8" t="n">
        <v>2.89</v>
      </c>
      <c r="G20" s="8" t="n">
        <v>3.57</v>
      </c>
      <c r="H20" s="8" t="n">
        <v>8.220000000000001</v>
      </c>
      <c r="I20" s="8" t="n">
        <v>4.2</v>
      </c>
      <c r="J20" s="8" t="n">
        <v>4.31</v>
      </c>
      <c r="K20" s="8" t="n">
        <v>9.25</v>
      </c>
      <c r="L20" s="8" t="n">
        <v>6.09</v>
      </c>
      <c r="M20" s="8" t="n">
        <v>7</v>
      </c>
      <c r="N20" s="8" t="n">
        <v>8.880000000000001</v>
      </c>
      <c r="O20" s="8" t="n">
        <v>7</v>
      </c>
      <c r="P20" s="8" t="n">
        <v>5.5</v>
      </c>
      <c r="Q20" s="8" t="n">
        <v>9.33</v>
      </c>
      <c r="R20" s="8" t="n">
        <v>4</v>
      </c>
      <c r="S20" s="8" t="n">
        <v>2.8</v>
      </c>
      <c r="T20" s="8" t="n">
        <v>1</v>
      </c>
      <c r="U20" s="8" t="n">
        <v>8.57</v>
      </c>
      <c r="V20" s="8" t="n">
        <v>10</v>
      </c>
      <c r="W20" s="8" t="n">
        <v>7.75</v>
      </c>
      <c r="X20" s="8" t="n">
        <v>8.199999999999999</v>
      </c>
      <c r="Y20" s="8" t="n">
        <v>6.4</v>
      </c>
      <c r="Z20" s="8" t="n">
        <v>7</v>
      </c>
      <c r="AA20" s="9">
        <f>SUMPRODUCT(C20:Z20,$C$3:$Z$3)/SUM($C$3:$Z$3)</f>
        <v/>
      </c>
      <c r="AB20" s="10" t="n">
        <v>17</v>
      </c>
    </row>
    <row r="21">
      <c r="A21" s="6" t="inlineStr">
        <is>
          <t>Panama</t>
        </is>
      </c>
      <c r="B21" s="7" t="inlineStr">
        <is>
          <t>LatAm</t>
        </is>
      </c>
      <c r="C21" s="8" t="n">
        <v>5.5</v>
      </c>
      <c r="D21" s="8" t="n">
        <v>7.75</v>
      </c>
      <c r="E21" s="8" t="n">
        <v>10</v>
      </c>
      <c r="F21" s="8" t="n">
        <v>5.06</v>
      </c>
      <c r="G21" s="8" t="n">
        <v>8.710000000000001</v>
      </c>
      <c r="H21" s="8" t="n">
        <v>5.6</v>
      </c>
      <c r="I21" s="8" t="n">
        <v>4.82</v>
      </c>
      <c r="J21" s="8" t="n">
        <v>5.01</v>
      </c>
      <c r="K21" s="8" t="n">
        <v>5.73</v>
      </c>
      <c r="L21" s="8" t="n">
        <v>5.1</v>
      </c>
      <c r="M21" s="8" t="n">
        <v>7</v>
      </c>
      <c r="N21" s="8" t="n">
        <v>8.880000000000001</v>
      </c>
      <c r="O21" s="8" t="n">
        <v>2.5</v>
      </c>
      <c r="P21" s="8" t="n">
        <v>5.5</v>
      </c>
      <c r="Q21" s="8" t="n">
        <v>4.25</v>
      </c>
      <c r="R21" s="8" t="n">
        <v>2.5</v>
      </c>
      <c r="S21" s="8" t="n">
        <v>4.6</v>
      </c>
      <c r="T21" s="8" t="n">
        <v>4</v>
      </c>
      <c r="U21" s="8" t="n">
        <v>3.57</v>
      </c>
      <c r="V21" s="8" t="n">
        <v>5.5</v>
      </c>
      <c r="W21" s="8" t="n">
        <v>3.25</v>
      </c>
      <c r="X21" s="8" t="n">
        <v>6.4</v>
      </c>
      <c r="Y21" s="8" t="n">
        <v>4.6</v>
      </c>
      <c r="Z21" s="8" t="n">
        <v>7</v>
      </c>
      <c r="AA21" s="9">
        <f>SUMPRODUCT(C21:Z21,$C$3:$Z$3)/SUM($C$3:$Z$3)</f>
        <v/>
      </c>
      <c r="AB21" s="10" t="n">
        <v>18</v>
      </c>
    </row>
    <row r="22">
      <c r="A22" s="6" t="inlineStr">
        <is>
          <t>Slovenia</t>
        </is>
      </c>
      <c r="B22" s="7" t="inlineStr">
        <is>
          <t>Europe/Mediterranean</t>
        </is>
      </c>
      <c r="C22" s="8" t="n">
        <v>2.5</v>
      </c>
      <c r="D22" s="8" t="n">
        <v>5.5</v>
      </c>
      <c r="E22" s="8" t="n">
        <v>7</v>
      </c>
      <c r="F22" s="8" t="n">
        <v>2.86</v>
      </c>
      <c r="G22" s="8" t="n">
        <v>2.29</v>
      </c>
      <c r="H22" s="8" t="n">
        <v>6.33</v>
      </c>
      <c r="I22" s="8" t="n">
        <v>8.109999999999999</v>
      </c>
      <c r="J22" s="8" t="n">
        <v>6.54</v>
      </c>
      <c r="K22" s="8" t="n">
        <v>7.49</v>
      </c>
      <c r="L22" s="8" t="n">
        <v>10</v>
      </c>
      <c r="M22" s="8" t="n">
        <v>8.5</v>
      </c>
      <c r="N22" s="8" t="n">
        <v>8.880000000000001</v>
      </c>
      <c r="O22" s="8" t="n">
        <v>7</v>
      </c>
      <c r="P22" s="8" t="n">
        <v>5.5</v>
      </c>
      <c r="Q22" s="8" t="n">
        <v>9.24</v>
      </c>
      <c r="R22" s="8" t="n">
        <v>2.5</v>
      </c>
      <c r="S22" s="8" t="n">
        <v>2.8</v>
      </c>
      <c r="T22" s="8" t="n">
        <v>4</v>
      </c>
      <c r="U22" s="8" t="n">
        <v>7.86</v>
      </c>
      <c r="V22" s="8" t="n">
        <v>10</v>
      </c>
      <c r="W22" s="8" t="n">
        <v>3.25</v>
      </c>
      <c r="X22" s="8" t="n">
        <v>8.199999999999999</v>
      </c>
      <c r="Y22" s="8" t="n">
        <v>4.6</v>
      </c>
      <c r="Z22" s="8" t="n">
        <v>8.5</v>
      </c>
      <c r="AA22" s="9">
        <f>SUMPRODUCT(C22:Z22,$C$3:$Z$3)/SUM($C$3:$Z$3)</f>
        <v/>
      </c>
      <c r="AB22" s="10" t="n">
        <v>19</v>
      </c>
    </row>
    <row r="23">
      <c r="A23" s="6" t="inlineStr">
        <is>
          <t>Armenia</t>
        </is>
      </c>
      <c r="B23" s="7" t="inlineStr">
        <is>
          <t>Caucasus/Turkey/Gulf</t>
        </is>
      </c>
      <c r="C23" s="8" t="n">
        <v>8.5</v>
      </c>
      <c r="D23" s="8" t="n">
        <v>6.62</v>
      </c>
      <c r="E23" s="8" t="n">
        <v>10</v>
      </c>
      <c r="F23" s="8" t="n">
        <v>6.23</v>
      </c>
      <c r="G23" s="8" t="n">
        <v>4.86</v>
      </c>
      <c r="H23" s="8" t="n">
        <v>7.8</v>
      </c>
      <c r="I23" s="8" t="n">
        <v>8.539999999999999</v>
      </c>
      <c r="J23" s="8" t="n">
        <v>4.49</v>
      </c>
      <c r="K23" s="8" t="n">
        <v>5.05</v>
      </c>
      <c r="L23" s="8" t="n">
        <v>4.3</v>
      </c>
      <c r="M23" s="8" t="n">
        <v>5.5</v>
      </c>
      <c r="N23" s="8" t="n">
        <v>3.25</v>
      </c>
      <c r="O23" s="8" t="n">
        <v>7</v>
      </c>
      <c r="P23" s="8" t="n">
        <v>10</v>
      </c>
      <c r="Q23" s="8" t="n">
        <v>6.44</v>
      </c>
      <c r="R23" s="8" t="n">
        <v>8.5</v>
      </c>
      <c r="S23" s="8" t="n">
        <v>1</v>
      </c>
      <c r="T23" s="8" t="n">
        <v>1</v>
      </c>
      <c r="U23" s="8" t="n">
        <v>10</v>
      </c>
      <c r="V23" s="8" t="n">
        <v>1</v>
      </c>
      <c r="W23" s="8" t="n">
        <v>5.5</v>
      </c>
      <c r="X23" s="8" t="n">
        <v>6.4</v>
      </c>
      <c r="Y23" s="8" t="n">
        <v>2.8</v>
      </c>
      <c r="Z23" s="8" t="n">
        <v>5.5</v>
      </c>
      <c r="AA23" s="9">
        <f>SUMPRODUCT(C23:Z23,$C$3:$Z$3)/SUM($C$3:$Z$3)</f>
        <v/>
      </c>
      <c r="AB23" s="10" t="n">
        <v>20</v>
      </c>
    </row>
    <row r="24">
      <c r="A24" s="6" t="inlineStr">
        <is>
          <t>Cyprus</t>
        </is>
      </c>
      <c r="B24" s="7" t="inlineStr">
        <is>
          <t>Europe/Mediterranean</t>
        </is>
      </c>
      <c r="C24" s="8" t="n">
        <v>4</v>
      </c>
      <c r="D24" s="8" t="n">
        <v>5.5</v>
      </c>
      <c r="E24" s="8" t="n">
        <v>7</v>
      </c>
      <c r="F24" s="8" t="n">
        <v>1.67</v>
      </c>
      <c r="G24" s="8" t="n">
        <v>6.14</v>
      </c>
      <c r="H24" s="8" t="n">
        <v>4.59</v>
      </c>
      <c r="I24" s="8" t="n">
        <v>6.53</v>
      </c>
      <c r="J24" s="8" t="n">
        <v>3.63</v>
      </c>
      <c r="K24" s="8" t="n">
        <v>9.15</v>
      </c>
      <c r="L24" s="8" t="n">
        <v>5.19</v>
      </c>
      <c r="M24" s="8" t="n">
        <v>7</v>
      </c>
      <c r="N24" s="8" t="n">
        <v>6.62</v>
      </c>
      <c r="O24" s="8" t="n">
        <v>5.5</v>
      </c>
      <c r="P24" s="8" t="n">
        <v>5.5</v>
      </c>
      <c r="Q24" s="8" t="n">
        <v>10</v>
      </c>
      <c r="R24" s="8" t="n">
        <v>8.5</v>
      </c>
      <c r="S24" s="8" t="n">
        <v>6.4</v>
      </c>
      <c r="T24" s="8" t="n">
        <v>4</v>
      </c>
      <c r="U24" s="8" t="n">
        <v>8.93</v>
      </c>
      <c r="V24" s="8" t="n">
        <v>7.75</v>
      </c>
      <c r="W24" s="8" t="n">
        <v>3.25</v>
      </c>
      <c r="X24" s="8" t="n">
        <v>6.4</v>
      </c>
      <c r="Y24" s="8" t="n">
        <v>4.6</v>
      </c>
      <c r="Z24" s="8" t="n">
        <v>5.5</v>
      </c>
      <c r="AA24" s="9">
        <f>SUMPRODUCT(C24:Z24,$C$3:$Z$3)/SUM($C$3:$Z$3)</f>
        <v/>
      </c>
      <c r="AB24" s="10" t="n">
        <v>21</v>
      </c>
    </row>
    <row r="25">
      <c r="A25" s="6" t="inlineStr">
        <is>
          <t>Bulgaria</t>
        </is>
      </c>
      <c r="B25" s="7" t="inlineStr">
        <is>
          <t>Europe/Mediterranean</t>
        </is>
      </c>
      <c r="C25" s="8" t="n">
        <v>2.5</v>
      </c>
      <c r="D25" s="8" t="n">
        <v>5.5</v>
      </c>
      <c r="E25" s="8" t="n">
        <v>7</v>
      </c>
      <c r="F25" s="8" t="n">
        <v>6.05</v>
      </c>
      <c r="G25" s="8" t="n">
        <v>6.14</v>
      </c>
      <c r="H25" s="8" t="n">
        <v>8.93</v>
      </c>
      <c r="I25" s="8" t="n">
        <v>6.13</v>
      </c>
      <c r="J25" s="8" t="n">
        <v>4.12</v>
      </c>
      <c r="K25" s="8" t="n">
        <v>7.58</v>
      </c>
      <c r="L25" s="8" t="n">
        <v>4.11</v>
      </c>
      <c r="M25" s="8" t="n">
        <v>4</v>
      </c>
      <c r="N25" s="8" t="n">
        <v>7.75</v>
      </c>
      <c r="O25" s="8" t="n">
        <v>7</v>
      </c>
      <c r="P25" s="8" t="n">
        <v>5.5</v>
      </c>
      <c r="Q25" s="8" t="n">
        <v>8.619999999999999</v>
      </c>
      <c r="R25" s="8" t="n">
        <v>5.5</v>
      </c>
      <c r="S25" s="8" t="n">
        <v>2.8</v>
      </c>
      <c r="T25" s="8" t="n">
        <v>4</v>
      </c>
      <c r="U25" s="8" t="n">
        <v>8.93</v>
      </c>
      <c r="V25" s="8" t="n">
        <v>7.75</v>
      </c>
      <c r="W25" s="8" t="n">
        <v>3.25</v>
      </c>
      <c r="X25" s="8" t="n">
        <v>8.199999999999999</v>
      </c>
      <c r="Y25" s="8" t="n">
        <v>4.6</v>
      </c>
      <c r="Z25" s="8" t="n">
        <v>5.5</v>
      </c>
      <c r="AA25" s="9">
        <f>SUMPRODUCT(C25:Z25,$C$3:$Z$3)/SUM($C$3:$Z$3)</f>
        <v/>
      </c>
      <c r="AB25" s="10" t="n">
        <v>22</v>
      </c>
    </row>
    <row r="26">
      <c r="A26" s="6" t="inlineStr">
        <is>
          <t>Montenegro</t>
        </is>
      </c>
      <c r="B26" s="7" t="inlineStr">
        <is>
          <t>Europe/Mediterranean</t>
        </is>
      </c>
      <c r="C26" s="8" t="n">
        <v>7</v>
      </c>
      <c r="D26" s="8" t="n">
        <v>5.5</v>
      </c>
      <c r="E26" s="8" t="n">
        <v>7</v>
      </c>
      <c r="F26" s="8" t="n">
        <v>5.77</v>
      </c>
      <c r="G26" s="8" t="n">
        <v>6.14</v>
      </c>
      <c r="H26" s="8" t="n">
        <v>7.41</v>
      </c>
      <c r="I26" s="8" t="n">
        <v>6.04</v>
      </c>
      <c r="J26" s="8" t="n">
        <v>1.58</v>
      </c>
      <c r="K26" s="8" t="n">
        <v>8.26</v>
      </c>
      <c r="L26" s="8" t="n">
        <v>7.45</v>
      </c>
      <c r="M26" s="8" t="n">
        <v>5.5</v>
      </c>
      <c r="N26" s="8" t="n">
        <v>7.75</v>
      </c>
      <c r="O26" s="8" t="n">
        <v>8.5</v>
      </c>
      <c r="P26" s="8" t="n">
        <v>5.5</v>
      </c>
      <c r="Q26" s="8" t="n">
        <v>6.13</v>
      </c>
      <c r="R26" s="8" t="n">
        <v>8.5</v>
      </c>
      <c r="S26" s="8" t="n">
        <v>1</v>
      </c>
      <c r="T26" s="8" t="n">
        <v>1</v>
      </c>
      <c r="U26" s="8" t="n">
        <v>10</v>
      </c>
      <c r="V26" s="8" t="n">
        <v>5.5</v>
      </c>
      <c r="W26" s="8" t="n">
        <v>3.25</v>
      </c>
      <c r="X26" s="8" t="n">
        <v>8.199999999999999</v>
      </c>
      <c r="Y26" s="8" t="n">
        <v>4.6</v>
      </c>
      <c r="Z26" s="8" t="n">
        <v>7</v>
      </c>
      <c r="AA26" s="9">
        <f>SUMPRODUCT(C26:Z26,$C$3:$Z$3)/SUM($C$3:$Z$3)</f>
        <v/>
      </c>
      <c r="AB26" s="10" t="n">
        <v>23</v>
      </c>
    </row>
    <row r="27">
      <c r="A27" s="6" t="inlineStr">
        <is>
          <t>Romania</t>
        </is>
      </c>
      <c r="B27" s="7" t="inlineStr">
        <is>
          <t>Europe/Mediterranean</t>
        </is>
      </c>
      <c r="C27" s="8" t="n">
        <v>4</v>
      </c>
      <c r="D27" s="8" t="n">
        <v>6.62</v>
      </c>
      <c r="E27" s="8" t="n">
        <v>7</v>
      </c>
      <c r="F27" s="8" t="n">
        <v>6.31</v>
      </c>
      <c r="G27" s="8" t="n">
        <v>4.86</v>
      </c>
      <c r="H27" s="8" t="n">
        <v>8.68</v>
      </c>
      <c r="I27" s="8" t="n">
        <v>6.62</v>
      </c>
      <c r="J27" s="8" t="n">
        <v>3.57</v>
      </c>
      <c r="K27" s="8" t="n">
        <v>6.88</v>
      </c>
      <c r="L27" s="8" t="n">
        <v>4.73</v>
      </c>
      <c r="M27" s="8" t="n">
        <v>5.5</v>
      </c>
      <c r="N27" s="8" t="n">
        <v>6.62</v>
      </c>
      <c r="O27" s="8" t="n">
        <v>7</v>
      </c>
      <c r="P27" s="8" t="n">
        <v>3.25</v>
      </c>
      <c r="Q27" s="8" t="n">
        <v>8.93</v>
      </c>
      <c r="R27" s="8" t="n">
        <v>2.5</v>
      </c>
      <c r="S27" s="8" t="n">
        <v>2.8</v>
      </c>
      <c r="T27" s="8" t="n">
        <v>4</v>
      </c>
      <c r="U27" s="8" t="n">
        <v>8.57</v>
      </c>
      <c r="V27" s="8" t="n">
        <v>7.75</v>
      </c>
      <c r="W27" s="8" t="n">
        <v>3.25</v>
      </c>
      <c r="X27" s="8" t="n">
        <v>6.4</v>
      </c>
      <c r="Y27" s="8" t="n">
        <v>4.6</v>
      </c>
      <c r="Z27" s="8" t="n">
        <v>5.5</v>
      </c>
      <c r="AA27" s="9">
        <f>SUMPRODUCT(C27:Z27,$C$3:$Z$3)/SUM($C$3:$Z$3)</f>
        <v/>
      </c>
      <c r="AB27" s="10" t="n">
        <v>24</v>
      </c>
    </row>
    <row r="28">
      <c r="A28" s="6" t="inlineStr">
        <is>
          <t>Vietnam</t>
        </is>
      </c>
      <c r="B28" s="7" t="inlineStr">
        <is>
          <t>Asia</t>
        </is>
      </c>
      <c r="C28" s="8" t="n">
        <v>2.5</v>
      </c>
      <c r="D28" s="8" t="n">
        <v>4.38</v>
      </c>
      <c r="E28" s="8" t="n">
        <v>4</v>
      </c>
      <c r="F28" s="8" t="n">
        <v>9.93</v>
      </c>
      <c r="G28" s="8" t="n">
        <v>3.57</v>
      </c>
      <c r="H28" s="8" t="n">
        <v>9.25</v>
      </c>
      <c r="I28" s="8" t="n">
        <v>5.3</v>
      </c>
      <c r="J28" s="8" t="n">
        <v>5.32</v>
      </c>
      <c r="K28" s="8" t="n">
        <v>6.14</v>
      </c>
      <c r="L28" s="8" t="n">
        <v>1</v>
      </c>
      <c r="M28" s="8" t="n">
        <v>8.5</v>
      </c>
      <c r="N28" s="8" t="n">
        <v>6.62</v>
      </c>
      <c r="O28" s="8" t="n">
        <v>4</v>
      </c>
      <c r="P28" s="8" t="n">
        <v>5.5</v>
      </c>
      <c r="Q28" s="8" t="n">
        <v>4.7</v>
      </c>
      <c r="R28" s="8" t="n">
        <v>4</v>
      </c>
      <c r="S28" s="8" t="n">
        <v>4.6</v>
      </c>
      <c r="T28" s="8" t="n">
        <v>1</v>
      </c>
      <c r="U28" s="8" t="n">
        <v>8.210000000000001</v>
      </c>
      <c r="V28" s="8" t="n">
        <v>5.5</v>
      </c>
      <c r="W28" s="8" t="n">
        <v>5.5</v>
      </c>
      <c r="X28" s="8" t="n">
        <v>4.6</v>
      </c>
      <c r="Y28" s="8" t="n">
        <v>6.4</v>
      </c>
      <c r="Z28" s="8" t="n">
        <v>8.5</v>
      </c>
      <c r="AA28" s="9">
        <f>SUMPRODUCT(C28:Z28,$C$3:$Z$3)/SUM($C$3:$Z$3)</f>
        <v/>
      </c>
      <c r="AB28" s="10" t="n">
        <v>25</v>
      </c>
    </row>
    <row r="29">
      <c r="A29" s="6" t="inlineStr">
        <is>
          <t>Kazakhstan</t>
        </is>
      </c>
      <c r="B29" s="7" t="inlineStr">
        <is>
          <t>Asia</t>
        </is>
      </c>
      <c r="C29" s="8" t="n">
        <v>7</v>
      </c>
      <c r="D29" s="8" t="n">
        <v>5.5</v>
      </c>
      <c r="E29" s="8" t="n">
        <v>7</v>
      </c>
      <c r="F29" s="8" t="n">
        <v>9.06</v>
      </c>
      <c r="G29" s="8" t="n">
        <v>6.14</v>
      </c>
      <c r="H29" s="8" t="n">
        <v>8.98</v>
      </c>
      <c r="I29" s="8" t="n">
        <v>4.38</v>
      </c>
      <c r="J29" s="8" t="n">
        <v>4.86</v>
      </c>
      <c r="K29" s="8" t="n">
        <v>1</v>
      </c>
      <c r="L29" s="8" t="n">
        <v>2.58</v>
      </c>
      <c r="M29" s="8" t="n">
        <v>5.5</v>
      </c>
      <c r="N29" s="8" t="n">
        <v>2.12</v>
      </c>
      <c r="O29" s="8" t="n">
        <v>8.5</v>
      </c>
      <c r="P29" s="8" t="n">
        <v>5.5</v>
      </c>
      <c r="Q29" s="8" t="n">
        <v>1.54</v>
      </c>
      <c r="R29" s="8" t="n">
        <v>10</v>
      </c>
      <c r="S29" s="8" t="n">
        <v>2.8</v>
      </c>
      <c r="T29" s="8" t="n">
        <v>7</v>
      </c>
      <c r="U29" s="8" t="n">
        <v>10</v>
      </c>
      <c r="V29" s="8" t="n">
        <v>3.25</v>
      </c>
      <c r="W29" s="8" t="n">
        <v>3.25</v>
      </c>
      <c r="X29" s="8" t="n">
        <v>6.4</v>
      </c>
      <c r="Y29" s="8" t="n">
        <v>2.8</v>
      </c>
      <c r="Z29" s="8" t="n">
        <v>4</v>
      </c>
      <c r="AA29" s="9">
        <f>SUMPRODUCT(C29:Z29,$C$3:$Z$3)/SUM($C$3:$Z$3)</f>
        <v/>
      </c>
      <c r="AB29" s="10" t="n">
        <v>26</v>
      </c>
    </row>
    <row r="30">
      <c r="A30" s="6" t="inlineStr">
        <is>
          <t>Philippines</t>
        </is>
      </c>
      <c r="B30" s="7" t="inlineStr">
        <is>
          <t>Asia</t>
        </is>
      </c>
      <c r="C30" s="8" t="n">
        <v>2.5</v>
      </c>
      <c r="D30" s="8" t="n">
        <v>4.38</v>
      </c>
      <c r="E30" s="8" t="n">
        <v>4</v>
      </c>
      <c r="F30" s="8" t="n">
        <v>8.99</v>
      </c>
      <c r="G30" s="8" t="n">
        <v>3.57</v>
      </c>
      <c r="H30" s="8" t="n">
        <v>9.83</v>
      </c>
      <c r="I30" s="8" t="n">
        <v>4.69</v>
      </c>
      <c r="J30" s="8" t="n">
        <v>6.72</v>
      </c>
      <c r="K30" s="8" t="n">
        <v>5.76</v>
      </c>
      <c r="L30" s="8" t="n">
        <v>2.65</v>
      </c>
      <c r="M30" s="8" t="n">
        <v>4</v>
      </c>
      <c r="N30" s="8" t="n">
        <v>6.62</v>
      </c>
      <c r="O30" s="8" t="n">
        <v>1</v>
      </c>
      <c r="P30" s="8" t="n">
        <v>7.75</v>
      </c>
      <c r="Q30" s="8" t="n">
        <v>7.9</v>
      </c>
      <c r="R30" s="8" t="n">
        <v>2.5</v>
      </c>
      <c r="S30" s="8" t="n">
        <v>4.6</v>
      </c>
      <c r="T30" s="8" t="n">
        <v>7</v>
      </c>
      <c r="U30" s="8" t="n">
        <v>6.79</v>
      </c>
      <c r="V30" s="8" t="n">
        <v>5.5</v>
      </c>
      <c r="W30" s="8" t="n">
        <v>1</v>
      </c>
      <c r="X30" s="8" t="n">
        <v>2.8</v>
      </c>
      <c r="Y30" s="8" t="n">
        <v>4.6</v>
      </c>
      <c r="Z30" s="8" t="n">
        <v>8.5</v>
      </c>
      <c r="AA30" s="9">
        <f>SUMPRODUCT(C30:Z30,$C$3:$Z$3)/SUM($C$3:$Z$3)</f>
        <v/>
      </c>
      <c r="AB30" s="10" t="n">
        <v>27</v>
      </c>
    </row>
    <row r="31">
      <c r="A31" s="6" t="inlineStr">
        <is>
          <t>Bali (Indonesia)</t>
        </is>
      </c>
      <c r="B31" s="7" t="inlineStr">
        <is>
          <t>Asia</t>
        </is>
      </c>
      <c r="C31" s="8" t="n">
        <v>4</v>
      </c>
      <c r="D31" s="8" t="n">
        <v>3.25</v>
      </c>
      <c r="E31" s="8" t="n">
        <v>4</v>
      </c>
      <c r="F31" s="8" t="n">
        <v>10</v>
      </c>
      <c r="G31" s="8" t="n">
        <v>4.86</v>
      </c>
      <c r="H31" s="8" t="n">
        <v>9.470000000000001</v>
      </c>
      <c r="I31" s="8" t="n">
        <v>4.17</v>
      </c>
      <c r="J31" s="8" t="n">
        <v>5.01</v>
      </c>
      <c r="K31" s="8" t="n">
        <v>5.49</v>
      </c>
      <c r="L31" s="8" t="n">
        <v>3.32</v>
      </c>
      <c r="M31" s="8" t="n">
        <v>5.5</v>
      </c>
      <c r="N31" s="8" t="n">
        <v>8.880000000000001</v>
      </c>
      <c r="O31" s="8" t="n">
        <v>1</v>
      </c>
      <c r="P31" s="8" t="n">
        <v>5.5</v>
      </c>
      <c r="Q31" s="8" t="n">
        <v>3.37</v>
      </c>
      <c r="R31" s="8" t="n">
        <v>5.5</v>
      </c>
      <c r="S31" s="8" t="n">
        <v>2.8</v>
      </c>
      <c r="T31" s="8" t="n">
        <v>1</v>
      </c>
      <c r="U31" s="8" t="n">
        <v>6.96</v>
      </c>
      <c r="V31" s="8" t="n">
        <v>5.5</v>
      </c>
      <c r="W31" s="8" t="n">
        <v>5.5</v>
      </c>
      <c r="X31" s="8" t="n">
        <v>4.6</v>
      </c>
      <c r="Y31" s="8" t="n">
        <v>8.199999999999999</v>
      </c>
      <c r="Z31" s="8" t="n">
        <v>10</v>
      </c>
      <c r="AA31" s="9">
        <f>SUMPRODUCT(C31:Z31,$C$3:$Z$3)/SUM($C$3:$Z$3)</f>
        <v/>
      </c>
      <c r="AB31" s="10" t="n">
        <v>28</v>
      </c>
    </row>
    <row r="32">
      <c r="A32" s="6" t="inlineStr">
        <is>
          <t>Hungary</t>
        </is>
      </c>
      <c r="B32" s="7" t="inlineStr">
        <is>
          <t>Europe/Mediterranean</t>
        </is>
      </c>
      <c r="C32" s="8" t="n">
        <v>2.5</v>
      </c>
      <c r="D32" s="8" t="n">
        <v>5.5</v>
      </c>
      <c r="E32" s="8" t="n">
        <v>7</v>
      </c>
      <c r="F32" s="8" t="n">
        <v>4.71</v>
      </c>
      <c r="G32" s="8" t="n">
        <v>4.86</v>
      </c>
      <c r="H32" s="8" t="n">
        <v>8.1</v>
      </c>
      <c r="I32" s="8" t="n">
        <v>6.49</v>
      </c>
      <c r="J32" s="8" t="n">
        <v>2.87</v>
      </c>
      <c r="K32" s="8" t="n">
        <v>7.38</v>
      </c>
      <c r="L32" s="8" t="n">
        <v>6.53</v>
      </c>
      <c r="M32" s="8" t="n">
        <v>8.5</v>
      </c>
      <c r="N32" s="8" t="n">
        <v>6.62</v>
      </c>
      <c r="O32" s="8" t="n">
        <v>7</v>
      </c>
      <c r="P32" s="8" t="n">
        <v>3.25</v>
      </c>
      <c r="Q32" s="8" t="n">
        <v>8.57</v>
      </c>
      <c r="R32" s="8" t="n">
        <v>4</v>
      </c>
      <c r="S32" s="8" t="n">
        <v>2.8</v>
      </c>
      <c r="T32" s="8" t="n">
        <v>4</v>
      </c>
      <c r="U32" s="8" t="n">
        <v>8.210000000000001</v>
      </c>
      <c r="V32" s="8" t="n">
        <v>10</v>
      </c>
      <c r="W32" s="8" t="n">
        <v>3.25</v>
      </c>
      <c r="X32" s="8" t="n">
        <v>6.4</v>
      </c>
      <c r="Y32" s="8" t="n">
        <v>6.4</v>
      </c>
      <c r="Z32" s="8" t="n">
        <v>4</v>
      </c>
      <c r="AA32" s="9">
        <f>SUMPRODUCT(C32:Z32,$C$3:$Z$3)/SUM($C$3:$Z$3)</f>
        <v/>
      </c>
      <c r="AB32" s="10" t="n">
        <v>29</v>
      </c>
    </row>
    <row r="33">
      <c r="A33" s="6" t="inlineStr">
        <is>
          <t>Malta</t>
        </is>
      </c>
      <c r="B33" s="7" t="inlineStr">
        <is>
          <t>Europe/Mediterranean</t>
        </is>
      </c>
      <c r="C33" s="8" t="n">
        <v>2.5</v>
      </c>
      <c r="D33" s="8" t="n">
        <v>5.5</v>
      </c>
      <c r="E33" s="8" t="n">
        <v>7</v>
      </c>
      <c r="F33" s="8" t="n">
        <v>2.17</v>
      </c>
      <c r="G33" s="8" t="n">
        <v>6.14</v>
      </c>
      <c r="H33" s="8" t="n">
        <v>4.23</v>
      </c>
      <c r="I33" s="8" t="n">
        <v>4.78</v>
      </c>
      <c r="J33" s="8" t="n">
        <v>2.59</v>
      </c>
      <c r="K33" s="8" t="n">
        <v>9.93</v>
      </c>
      <c r="L33" s="8" t="n">
        <v>2.18</v>
      </c>
      <c r="M33" s="8" t="n">
        <v>8.5</v>
      </c>
      <c r="N33" s="8" t="n">
        <v>8.880000000000001</v>
      </c>
      <c r="O33" s="8" t="n">
        <v>4</v>
      </c>
      <c r="P33" s="8" t="n">
        <v>3.25</v>
      </c>
      <c r="Q33" s="8" t="n">
        <v>10</v>
      </c>
      <c r="R33" s="8" t="n">
        <v>4</v>
      </c>
      <c r="S33" s="8" t="n">
        <v>6.4</v>
      </c>
      <c r="T33" s="8" t="n">
        <v>7</v>
      </c>
      <c r="U33" s="8" t="n">
        <v>7.86</v>
      </c>
      <c r="V33" s="8" t="n">
        <v>7.75</v>
      </c>
      <c r="W33" s="8" t="n">
        <v>3.25</v>
      </c>
      <c r="X33" s="8" t="n">
        <v>1</v>
      </c>
      <c r="Y33" s="8" t="n">
        <v>4.6</v>
      </c>
      <c r="Z33" s="8" t="n">
        <v>4</v>
      </c>
      <c r="AA33" s="9">
        <f>SUMPRODUCT(C33:Z33,$C$3:$Z$3)/SUM($C$3:$Z$3)</f>
        <v/>
      </c>
      <c r="AB33" s="10" t="n">
        <v>30</v>
      </c>
    </row>
    <row r="34">
      <c r="A34" s="6" t="inlineStr">
        <is>
          <t>North Macedonia</t>
        </is>
      </c>
      <c r="B34" s="7" t="inlineStr">
        <is>
          <t>Europe/Mediterranean</t>
        </is>
      </c>
      <c r="C34" s="8" t="n">
        <v>4</v>
      </c>
      <c r="D34" s="8" t="n">
        <v>5.5</v>
      </c>
      <c r="E34" s="8" t="n">
        <v>7</v>
      </c>
      <c r="F34" s="8" t="n">
        <v>7.6</v>
      </c>
      <c r="G34" s="8" t="n">
        <v>6.14</v>
      </c>
      <c r="H34" s="8" t="n">
        <v>9.81</v>
      </c>
      <c r="I34" s="8" t="n">
        <v>5.07</v>
      </c>
      <c r="J34" s="8" t="n">
        <v>3.23</v>
      </c>
      <c r="K34" s="8" t="n">
        <v>7.39</v>
      </c>
      <c r="L34" s="8" t="n">
        <v>1.66</v>
      </c>
      <c r="M34" s="8" t="n">
        <v>5.5</v>
      </c>
      <c r="N34" s="8" t="n">
        <v>7.75</v>
      </c>
      <c r="O34" s="8" t="n">
        <v>8.5</v>
      </c>
      <c r="P34" s="8" t="n">
        <v>5.5</v>
      </c>
      <c r="Q34" s="8" t="n">
        <v>9.02</v>
      </c>
      <c r="R34" s="8" t="n">
        <v>4</v>
      </c>
      <c r="S34" s="8" t="n">
        <v>1</v>
      </c>
      <c r="T34" s="8" t="n">
        <v>1</v>
      </c>
      <c r="U34" s="8" t="n">
        <v>8.57</v>
      </c>
      <c r="V34" s="8" t="n">
        <v>3.25</v>
      </c>
      <c r="W34" s="8" t="n">
        <v>3.25</v>
      </c>
      <c r="X34" s="8" t="n">
        <v>8.199999999999999</v>
      </c>
      <c r="Y34" s="8" t="n">
        <v>2.8</v>
      </c>
      <c r="Z34" s="8" t="n">
        <v>4</v>
      </c>
      <c r="AA34" s="9">
        <f>SUMPRODUCT(C34:Z34,$C$3:$Z$3)/SUM($C$3:$Z$3)</f>
        <v/>
      </c>
      <c r="AB34" s="10" t="n">
        <v>31</v>
      </c>
    </row>
    <row r="35">
      <c r="A35" s="6" t="inlineStr">
        <is>
          <t>Kyrgyzstan</t>
        </is>
      </c>
      <c r="B35" s="7" t="inlineStr">
        <is>
          <t>Asia</t>
        </is>
      </c>
      <c r="C35" s="8" t="n">
        <v>7</v>
      </c>
      <c r="D35" s="8" t="n">
        <v>5.5</v>
      </c>
      <c r="E35" s="8" t="n">
        <v>7</v>
      </c>
      <c r="F35" s="8" t="n">
        <v>9.69</v>
      </c>
      <c r="G35" s="8" t="n">
        <v>6.14</v>
      </c>
      <c r="H35" s="8" t="n">
        <v>8.68</v>
      </c>
      <c r="I35" s="8" t="n">
        <v>5.32</v>
      </c>
      <c r="J35" s="8" t="n">
        <v>3.11</v>
      </c>
      <c r="K35" s="8" t="n">
        <v>2.45</v>
      </c>
      <c r="L35" s="8" t="n">
        <v>2.28</v>
      </c>
      <c r="M35" s="8" t="n">
        <v>1</v>
      </c>
      <c r="N35" s="8" t="n">
        <v>4.38</v>
      </c>
      <c r="O35" s="8" t="n">
        <v>7</v>
      </c>
      <c r="P35" s="8" t="n">
        <v>7.75</v>
      </c>
      <c r="Q35" s="8" t="n">
        <v>2.88</v>
      </c>
      <c r="R35" s="8" t="n">
        <v>8.5</v>
      </c>
      <c r="S35" s="8" t="n">
        <v>1</v>
      </c>
      <c r="T35" s="8" t="n">
        <v>1</v>
      </c>
      <c r="U35" s="8" t="n">
        <v>10</v>
      </c>
      <c r="V35" s="8" t="n">
        <v>1</v>
      </c>
      <c r="W35" s="8" t="n">
        <v>3.25</v>
      </c>
      <c r="X35" s="8" t="n">
        <v>8.199999999999999</v>
      </c>
      <c r="Y35" s="8" t="n">
        <v>1</v>
      </c>
      <c r="Z35" s="8" t="n">
        <v>8.5</v>
      </c>
      <c r="AA35" s="9">
        <f>SUMPRODUCT(C35:Z35,$C$3:$Z$3)/SUM($C$3:$Z$3)</f>
        <v/>
      </c>
      <c r="AB35" s="10" t="n">
        <v>32</v>
      </c>
    </row>
    <row r="36">
      <c r="A36" s="6" t="inlineStr">
        <is>
          <t>Qatar</t>
        </is>
      </c>
      <c r="B36" s="7" t="inlineStr">
        <is>
          <t>Caucasus/Turkey/Gulf</t>
        </is>
      </c>
      <c r="C36" s="8" t="n">
        <v>4</v>
      </c>
      <c r="D36" s="8" t="n">
        <v>1</v>
      </c>
      <c r="E36" s="8" t="n">
        <v>1</v>
      </c>
      <c r="F36" s="8" t="n">
        <v>3.8</v>
      </c>
      <c r="G36" s="8" t="n">
        <v>10</v>
      </c>
      <c r="H36" s="8" t="n">
        <v>1</v>
      </c>
      <c r="I36" s="8" t="n">
        <v>9.779999999999999</v>
      </c>
      <c r="J36" s="8" t="n">
        <v>8.81</v>
      </c>
      <c r="K36" s="8" t="n">
        <v>1.17</v>
      </c>
      <c r="L36" s="8" t="n">
        <v>4.5</v>
      </c>
      <c r="M36" s="8" t="n">
        <v>10</v>
      </c>
      <c r="N36" s="8" t="n">
        <v>6.62</v>
      </c>
      <c r="O36" s="8" t="n">
        <v>1</v>
      </c>
      <c r="P36" s="8" t="n">
        <v>1</v>
      </c>
      <c r="Q36" s="8" t="n">
        <v>3.89</v>
      </c>
      <c r="R36" s="8" t="n">
        <v>5.5</v>
      </c>
      <c r="S36" s="8" t="n">
        <v>6.4</v>
      </c>
      <c r="T36" s="8" t="n">
        <v>7</v>
      </c>
      <c r="U36" s="8" t="n">
        <v>9.640000000000001</v>
      </c>
      <c r="V36" s="8" t="n">
        <v>7.75</v>
      </c>
      <c r="W36" s="8" t="n">
        <v>3.25</v>
      </c>
      <c r="X36" s="8" t="n">
        <v>4.6</v>
      </c>
      <c r="Y36" s="8" t="n">
        <v>4.6</v>
      </c>
      <c r="Z36" s="8" t="n">
        <v>1</v>
      </c>
      <c r="AA36" s="9">
        <f>SUMPRODUCT(C36:Z36,$C$3:$Z$3)/SUM($C$3:$Z$3)</f>
        <v/>
      </c>
      <c r="AB36" s="10" t="n">
        <v>33</v>
      </c>
    </row>
    <row r="37">
      <c r="A37" s="6" t="inlineStr">
        <is>
          <t>Albania</t>
        </is>
      </c>
      <c r="B37" s="7" t="inlineStr">
        <is>
          <t>Europe/Mediterranean</t>
        </is>
      </c>
      <c r="C37" s="8" t="n">
        <v>5.5</v>
      </c>
      <c r="D37" s="8" t="n">
        <v>5.5</v>
      </c>
      <c r="E37" s="8" t="n">
        <v>7</v>
      </c>
      <c r="F37" s="8" t="n">
        <v>4.97</v>
      </c>
      <c r="G37" s="8" t="n">
        <v>4.86</v>
      </c>
      <c r="H37" s="8" t="n">
        <v>8.1</v>
      </c>
      <c r="I37" s="8" t="n">
        <v>4.58</v>
      </c>
      <c r="J37" s="8" t="n">
        <v>1</v>
      </c>
      <c r="K37" s="8" t="n">
        <v>8.300000000000001</v>
      </c>
      <c r="L37" s="8" t="n">
        <v>1.97</v>
      </c>
      <c r="M37" s="8" t="n">
        <v>5.5</v>
      </c>
      <c r="N37" s="8" t="n">
        <v>8.880000000000001</v>
      </c>
      <c r="O37" s="8" t="n">
        <v>5.5</v>
      </c>
      <c r="P37" s="8" t="n">
        <v>7.75</v>
      </c>
      <c r="Q37" s="8" t="n">
        <v>6.26</v>
      </c>
      <c r="R37" s="8" t="n">
        <v>2.5</v>
      </c>
      <c r="S37" s="8" t="n">
        <v>1</v>
      </c>
      <c r="T37" s="8" t="n">
        <v>1</v>
      </c>
      <c r="U37" s="8" t="n">
        <v>8.210000000000001</v>
      </c>
      <c r="V37" s="8" t="n">
        <v>3.25</v>
      </c>
      <c r="W37" s="8" t="n">
        <v>3.25</v>
      </c>
      <c r="X37" s="8" t="n">
        <v>8.199999999999999</v>
      </c>
      <c r="Y37" s="8" t="n">
        <v>2.8</v>
      </c>
      <c r="Z37" s="8" t="n">
        <v>7</v>
      </c>
      <c r="AA37" s="9">
        <f>SUMPRODUCT(C37:Z37,$C$3:$Z$3)/SUM($C$3:$Z$3)</f>
        <v/>
      </c>
      <c r="AB37" s="10" t="n">
        <v>34</v>
      </c>
    </row>
    <row r="38">
      <c r="A38" s="6" t="inlineStr">
        <is>
          <t>Bahrain</t>
        </is>
      </c>
      <c r="B38" s="7" t="inlineStr">
        <is>
          <t>Caucasus/Turkey/Gulf</t>
        </is>
      </c>
      <c r="C38" s="8" t="n">
        <v>4</v>
      </c>
      <c r="D38" s="8" t="n">
        <v>2.12</v>
      </c>
      <c r="E38" s="8" t="n">
        <v>1</v>
      </c>
      <c r="F38" s="8" t="n">
        <v>4.52</v>
      </c>
      <c r="G38" s="8" t="n">
        <v>10</v>
      </c>
      <c r="H38" s="8" t="n">
        <v>6.11</v>
      </c>
      <c r="I38" s="8" t="n">
        <v>7.12</v>
      </c>
      <c r="J38" s="8" t="n">
        <v>5.26</v>
      </c>
      <c r="K38" s="8" t="n">
        <v>1.45</v>
      </c>
      <c r="L38" s="8" t="n">
        <v>4.79</v>
      </c>
      <c r="M38" s="8" t="n">
        <v>7</v>
      </c>
      <c r="N38" s="8" t="n">
        <v>5.5</v>
      </c>
      <c r="O38" s="8" t="n">
        <v>1</v>
      </c>
      <c r="P38" s="8" t="n">
        <v>3.25</v>
      </c>
      <c r="Q38" s="8" t="n">
        <v>3.89</v>
      </c>
      <c r="R38" s="8" t="n">
        <v>4</v>
      </c>
      <c r="S38" s="8" t="n">
        <v>4.6</v>
      </c>
      <c r="T38" s="8" t="n">
        <v>7</v>
      </c>
      <c r="U38" s="8" t="n">
        <v>9.289999999999999</v>
      </c>
      <c r="V38" s="8" t="n">
        <v>7.75</v>
      </c>
      <c r="W38" s="8" t="n">
        <v>3.25</v>
      </c>
      <c r="X38" s="8" t="n">
        <v>2.8</v>
      </c>
      <c r="Y38" s="8" t="n">
        <v>4.6</v>
      </c>
      <c r="Z38" s="8" t="n">
        <v>1</v>
      </c>
      <c r="AA38" s="9">
        <f>SUMPRODUCT(C38:Z38,$C$3:$Z$3)/SUM($C$3:$Z$3)</f>
        <v/>
      </c>
      <c r="AB38" s="10" t="n">
        <v>35</v>
      </c>
    </row>
    <row r="39">
      <c r="A39" s="6" t="inlineStr">
        <is>
          <t>Sri Lanka</t>
        </is>
      </c>
      <c r="B39" s="7" t="inlineStr">
        <is>
          <t>Asia</t>
        </is>
      </c>
      <c r="C39" s="8" t="n">
        <v>2.5</v>
      </c>
      <c r="D39" s="8" t="n">
        <v>4.38</v>
      </c>
      <c r="E39" s="8" t="n">
        <v>4</v>
      </c>
      <c r="F39" s="8" t="n">
        <v>8.02</v>
      </c>
      <c r="G39" s="8" t="n">
        <v>3.57</v>
      </c>
      <c r="H39" s="8" t="n">
        <v>10</v>
      </c>
      <c r="I39" s="8" t="n">
        <v>4.89</v>
      </c>
      <c r="J39" s="8" t="n">
        <v>7.92</v>
      </c>
      <c r="K39" s="8" t="n">
        <v>5.15</v>
      </c>
      <c r="L39" s="8" t="n">
        <v>4.79</v>
      </c>
      <c r="M39" s="8" t="n">
        <v>2.5</v>
      </c>
      <c r="N39" s="8" t="n">
        <v>7.75</v>
      </c>
      <c r="O39" s="8" t="n">
        <v>1</v>
      </c>
      <c r="P39" s="8" t="n">
        <v>7.75</v>
      </c>
      <c r="Q39" s="8" t="n">
        <v>4.16</v>
      </c>
      <c r="R39" s="8" t="n">
        <v>1</v>
      </c>
      <c r="S39" s="8" t="n">
        <v>1</v>
      </c>
      <c r="T39" s="8" t="n">
        <v>1</v>
      </c>
      <c r="U39" s="8" t="n">
        <v>7.5</v>
      </c>
      <c r="V39" s="8" t="n">
        <v>3.25</v>
      </c>
      <c r="W39" s="8" t="n">
        <v>3.25</v>
      </c>
      <c r="X39" s="8" t="n">
        <v>4.6</v>
      </c>
      <c r="Y39" s="8" t="n">
        <v>1</v>
      </c>
      <c r="Z39" s="8" t="n">
        <v>8.5</v>
      </c>
      <c r="AA39" s="9">
        <f>SUMPRODUCT(C39:Z39,$C$3:$Z$3)/SUM($C$3:$Z$3)</f>
        <v/>
      </c>
      <c r="AB39" s="10" t="n">
        <v>36</v>
      </c>
    </row>
  </sheetData>
  <conditionalFormatting sqref="C4:Z39">
    <cfRule type="colorScale" priority="1">
      <colorScale>
        <cfvo type="num" val="1"/>
        <cfvo type="num" val="5.5"/>
        <cfvo type="num" val="10"/>
        <color rgb="00F8696B"/>
        <color rgb="00FFEB84"/>
        <color rgb="0063BE7B"/>
      </colorScale>
    </cfRule>
  </conditionalFormatting>
  <conditionalFormatting sqref="AA4:AA3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12" customWidth="1" min="4" max="4"/>
    <col width="6" customWidth="1" min="5" max="5"/>
    <col width="12" customWidth="1" min="6" max="6"/>
    <col width="6" customWidth="1" min="7" max="7"/>
    <col width="12" customWidth="1" min="8" max="8"/>
    <col width="6" customWidth="1" min="9" max="9"/>
    <col width="12" customWidth="1" min="10" max="10"/>
    <col width="6" customWidth="1" min="11" max="11"/>
  </cols>
  <sheetData>
    <row r="1">
      <c r="A1" s="11" t="inlineStr">
        <is>
          <t>Weight scenarios — score and rank per country</t>
        </is>
      </c>
    </row>
    <row r="3">
      <c r="A3" s="1" t="inlineStr">
        <is>
          <t>Country</t>
        </is>
      </c>
      <c r="B3" s="3" t="inlineStr">
        <is>
          <t>Baseline
score</t>
        </is>
      </c>
      <c r="C3" s="3" t="inlineStr">
        <is>
          <t>rank</t>
        </is>
      </c>
      <c r="D3" s="3" t="inlineStr">
        <is>
          <t>Visa-first
score</t>
        </is>
      </c>
      <c r="E3" s="3" t="inlineStr">
        <is>
          <t>rank</t>
        </is>
      </c>
      <c r="F3" s="3" t="inlineStr">
        <is>
          <t>Money-first
score</t>
        </is>
      </c>
      <c r="G3" s="3" t="inlineStr">
        <is>
          <t>rank</t>
        </is>
      </c>
      <c r="H3" s="3" t="inlineStr">
        <is>
          <t>Safety-first
score</t>
        </is>
      </c>
      <c r="I3" s="3" t="inlineStr">
        <is>
          <t>rank</t>
        </is>
      </c>
      <c r="J3" s="3" t="inlineStr">
        <is>
          <t>Lifestyle-first
score</t>
        </is>
      </c>
      <c r="K3" s="3" t="inlineStr">
        <is>
          <t>rank</t>
        </is>
      </c>
    </row>
    <row r="4">
      <c r="A4" s="12" t="inlineStr">
        <is>
          <t>Georgia</t>
        </is>
      </c>
      <c r="B4" s="13" t="n">
        <v>6.66</v>
      </c>
      <c r="C4" s="14" t="n">
        <v>1</v>
      </c>
      <c r="D4" s="13" t="n">
        <v>7.28</v>
      </c>
      <c r="E4" s="14" t="n">
        <v>1</v>
      </c>
      <c r="F4" s="13" t="n">
        <v>6.9</v>
      </c>
      <c r="G4" s="14" t="n">
        <v>1</v>
      </c>
      <c r="H4" s="13" t="n">
        <v>6.42</v>
      </c>
      <c r="I4" s="14" t="n">
        <v>4</v>
      </c>
      <c r="J4" s="13" t="n">
        <v>6.85</v>
      </c>
      <c r="K4" s="14" t="n">
        <v>2</v>
      </c>
    </row>
    <row r="5">
      <c r="A5" s="12" t="inlineStr">
        <is>
          <t>Portugal</t>
        </is>
      </c>
      <c r="B5" s="13" t="n">
        <v>6.56</v>
      </c>
      <c r="C5" s="14" t="n">
        <v>2</v>
      </c>
      <c r="D5" s="13" t="n">
        <v>6.63</v>
      </c>
      <c r="E5" s="14" t="n">
        <v>2</v>
      </c>
      <c r="F5" s="13" t="n">
        <v>6.19</v>
      </c>
      <c r="G5" s="14" t="n">
        <v>5</v>
      </c>
      <c r="H5" s="13" t="n">
        <v>6.73</v>
      </c>
      <c r="I5" s="14" t="n">
        <v>1</v>
      </c>
      <c r="J5" s="13" t="n">
        <v>6.73</v>
      </c>
      <c r="K5" s="14" t="n">
        <v>4</v>
      </c>
    </row>
    <row r="6">
      <c r="A6" s="12" t="inlineStr">
        <is>
          <t>Spain</t>
        </is>
      </c>
      <c r="B6" s="13" t="n">
        <v>6.55</v>
      </c>
      <c r="C6" s="14" t="n">
        <v>3</v>
      </c>
      <c r="D6" s="13" t="n">
        <v>6.42</v>
      </c>
      <c r="E6" s="14" t="n">
        <v>5</v>
      </c>
      <c r="F6" s="13" t="n">
        <v>6.09</v>
      </c>
      <c r="G6" s="14" t="n">
        <v>10</v>
      </c>
      <c r="H6" s="13" t="n">
        <v>6.65</v>
      </c>
      <c r="I6" s="14" t="n">
        <v>2</v>
      </c>
      <c r="J6" s="13" t="n">
        <v>6.9</v>
      </c>
      <c r="K6" s="14" t="n">
        <v>1</v>
      </c>
    </row>
    <row r="7">
      <c r="A7" s="12" t="inlineStr">
        <is>
          <t>Turkey</t>
        </is>
      </c>
      <c r="B7" s="13" t="n">
        <v>6.44</v>
      </c>
      <c r="C7" s="14" t="n">
        <v>4</v>
      </c>
      <c r="D7" s="13" t="n">
        <v>6.43</v>
      </c>
      <c r="E7" s="14" t="n">
        <v>4</v>
      </c>
      <c r="F7" s="13" t="n">
        <v>6.46</v>
      </c>
      <c r="G7" s="14" t="n">
        <v>2</v>
      </c>
      <c r="H7" s="13" t="n">
        <v>6.3</v>
      </c>
      <c r="I7" s="14" t="n">
        <v>6</v>
      </c>
      <c r="J7" s="13" t="n">
        <v>6.75</v>
      </c>
      <c r="K7" s="14" t="n">
        <v>3</v>
      </c>
    </row>
    <row r="8">
      <c r="A8" s="12" t="inlineStr">
        <is>
          <t>UAE</t>
        </is>
      </c>
      <c r="B8" s="13" t="n">
        <v>6.3</v>
      </c>
      <c r="C8" s="14" t="n">
        <v>5</v>
      </c>
      <c r="D8" s="13" t="n">
        <v>5.87</v>
      </c>
      <c r="E8" s="14" t="n">
        <v>16</v>
      </c>
      <c r="F8" s="13" t="n">
        <v>6.16</v>
      </c>
      <c r="G8" s="14" t="n">
        <v>7</v>
      </c>
      <c r="H8" s="13" t="n">
        <v>6.57</v>
      </c>
      <c r="I8" s="14" t="n">
        <v>3</v>
      </c>
      <c r="J8" s="13" t="n">
        <v>6.15</v>
      </c>
      <c r="K8" s="14" t="n">
        <v>12</v>
      </c>
    </row>
    <row r="9">
      <c r="A9" s="12" t="inlineStr">
        <is>
          <t>Mexico</t>
        </is>
      </c>
      <c r="B9" s="13" t="n">
        <v>6.18</v>
      </c>
      <c r="C9" s="14" t="n">
        <v>6</v>
      </c>
      <c r="D9" s="13" t="n">
        <v>6.27</v>
      </c>
      <c r="E9" s="14" t="n">
        <v>7</v>
      </c>
      <c r="F9" s="13" t="n">
        <v>6.16</v>
      </c>
      <c r="G9" s="14" t="n">
        <v>6</v>
      </c>
      <c r="H9" s="13" t="n">
        <v>6.03</v>
      </c>
      <c r="I9" s="14" t="n">
        <v>11</v>
      </c>
      <c r="J9" s="13" t="n">
        <v>6.49</v>
      </c>
      <c r="K9" s="14" t="n">
        <v>6</v>
      </c>
    </row>
    <row r="10">
      <c r="A10" s="12" t="inlineStr">
        <is>
          <t>Thailand</t>
        </is>
      </c>
      <c r="B10" s="13" t="n">
        <v>6.1</v>
      </c>
      <c r="C10" s="14" t="n">
        <v>7</v>
      </c>
      <c r="D10" s="13" t="n">
        <v>6.19</v>
      </c>
      <c r="E10" s="14" t="n">
        <v>10</v>
      </c>
      <c r="F10" s="13" t="n">
        <v>6.26</v>
      </c>
      <c r="G10" s="14" t="n">
        <v>4</v>
      </c>
      <c r="H10" s="13" t="n">
        <v>5.99</v>
      </c>
      <c r="I10" s="14" t="n">
        <v>14</v>
      </c>
      <c r="J10" s="13" t="n">
        <v>6.61</v>
      </c>
      <c r="K10" s="14" t="n">
        <v>5</v>
      </c>
    </row>
    <row r="11">
      <c r="A11" s="12" t="inlineStr">
        <is>
          <t>Serbia</t>
        </is>
      </c>
      <c r="B11" s="13" t="n">
        <v>6.04</v>
      </c>
      <c r="C11" s="14" t="n">
        <v>8</v>
      </c>
      <c r="D11" s="13" t="n">
        <v>6.59</v>
      </c>
      <c r="E11" s="14" t="n">
        <v>3</v>
      </c>
      <c r="F11" s="13" t="n">
        <v>5.98</v>
      </c>
      <c r="G11" s="14" t="n">
        <v>11</v>
      </c>
      <c r="H11" s="13" t="n">
        <v>6.13</v>
      </c>
      <c r="I11" s="14" t="n">
        <v>9</v>
      </c>
      <c r="J11" s="13" t="n">
        <v>6.06</v>
      </c>
      <c r="K11" s="14" t="n">
        <v>14</v>
      </c>
    </row>
    <row r="12">
      <c r="A12" s="12" t="inlineStr">
        <is>
          <t>Costa Rica</t>
        </is>
      </c>
      <c r="B12" s="13" t="n">
        <v>6.02</v>
      </c>
      <c r="C12" s="14" t="n">
        <v>9</v>
      </c>
      <c r="D12" s="13" t="n">
        <v>6.13</v>
      </c>
      <c r="E12" s="14" t="n">
        <v>12</v>
      </c>
      <c r="F12" s="13" t="n">
        <v>6.12</v>
      </c>
      <c r="G12" s="14" t="n">
        <v>8</v>
      </c>
      <c r="H12" s="13" t="n">
        <v>6.35</v>
      </c>
      <c r="I12" s="14" t="n">
        <v>5</v>
      </c>
      <c r="J12" s="13" t="n">
        <v>6.17</v>
      </c>
      <c r="K12" s="14" t="n">
        <v>10</v>
      </c>
    </row>
    <row r="13">
      <c r="A13" s="12" t="inlineStr">
        <is>
          <t>Argentina</t>
        </is>
      </c>
      <c r="B13" s="13" t="n">
        <v>6.01</v>
      </c>
      <c r="C13" s="14" t="n">
        <v>10</v>
      </c>
      <c r="D13" s="13" t="n">
        <v>6.24</v>
      </c>
      <c r="E13" s="14" t="n">
        <v>9</v>
      </c>
      <c r="F13" s="13" t="n">
        <v>5.93</v>
      </c>
      <c r="G13" s="14" t="n">
        <v>13</v>
      </c>
      <c r="H13" s="13" t="n">
        <v>5.77</v>
      </c>
      <c r="I13" s="14" t="n">
        <v>19</v>
      </c>
      <c r="J13" s="13" t="n">
        <v>6.35</v>
      </c>
      <c r="K13" s="14" t="n">
        <v>7</v>
      </c>
    </row>
    <row r="14">
      <c r="A14" s="12" t="inlineStr">
        <is>
          <t>Brazil</t>
        </is>
      </c>
      <c r="B14" s="13" t="n">
        <v>5.98</v>
      </c>
      <c r="C14" s="14" t="n">
        <v>11</v>
      </c>
      <c r="D14" s="13" t="n">
        <v>6.12</v>
      </c>
      <c r="E14" s="14" t="n">
        <v>13</v>
      </c>
      <c r="F14" s="13" t="n">
        <v>6.1</v>
      </c>
      <c r="G14" s="14" t="n">
        <v>9</v>
      </c>
      <c r="H14" s="13" t="n">
        <v>6.01</v>
      </c>
      <c r="I14" s="14" t="n">
        <v>12</v>
      </c>
      <c r="J14" s="13" t="n">
        <v>6.33</v>
      </c>
      <c r="K14" s="14" t="n">
        <v>9</v>
      </c>
    </row>
    <row r="15">
      <c r="A15" s="12" t="inlineStr">
        <is>
          <t>Malaysia</t>
        </is>
      </c>
      <c r="B15" s="13" t="n">
        <v>5.96</v>
      </c>
      <c r="C15" s="14" t="n">
        <v>12</v>
      </c>
      <c r="D15" s="13" t="n">
        <v>5.65</v>
      </c>
      <c r="E15" s="14" t="n">
        <v>20</v>
      </c>
      <c r="F15" s="13" t="n">
        <v>6.31</v>
      </c>
      <c r="G15" s="14" t="n">
        <v>3</v>
      </c>
      <c r="H15" s="13" t="n">
        <v>5.86</v>
      </c>
      <c r="I15" s="14" t="n">
        <v>16</v>
      </c>
      <c r="J15" s="13" t="n">
        <v>5.99</v>
      </c>
      <c r="K15" s="14" t="n">
        <v>15</v>
      </c>
    </row>
    <row r="16">
      <c r="A16" s="12" t="inlineStr">
        <is>
          <t>Uruguay</t>
        </is>
      </c>
      <c r="B16" s="13" t="n">
        <v>5.94</v>
      </c>
      <c r="C16" s="14" t="n">
        <v>13</v>
      </c>
      <c r="D16" s="13" t="n">
        <v>6.27</v>
      </c>
      <c r="E16" s="14" t="n">
        <v>8</v>
      </c>
      <c r="F16" s="13" t="n">
        <v>5.98</v>
      </c>
      <c r="G16" s="14" t="n">
        <v>12</v>
      </c>
      <c r="H16" s="13" t="n">
        <v>6.21</v>
      </c>
      <c r="I16" s="14" t="n">
        <v>8</v>
      </c>
      <c r="J16" s="13" t="n">
        <v>5.99</v>
      </c>
      <c r="K16" s="14" t="n">
        <v>16</v>
      </c>
    </row>
    <row r="17">
      <c r="A17" s="12" t="inlineStr">
        <is>
          <t>Czechia</t>
        </is>
      </c>
      <c r="B17" s="13" t="n">
        <v>5.91</v>
      </c>
      <c r="C17" s="14" t="n">
        <v>14</v>
      </c>
      <c r="D17" s="13" t="n">
        <v>5.43</v>
      </c>
      <c r="E17" s="14" t="n">
        <v>23</v>
      </c>
      <c r="F17" s="13" t="n">
        <v>5.65</v>
      </c>
      <c r="G17" s="14" t="n">
        <v>20</v>
      </c>
      <c r="H17" s="13" t="n">
        <v>6.1</v>
      </c>
      <c r="I17" s="14" t="n">
        <v>10</v>
      </c>
      <c r="J17" s="13" t="n">
        <v>5.86</v>
      </c>
      <c r="K17" s="14" t="n">
        <v>17</v>
      </c>
    </row>
    <row r="18">
      <c r="A18" s="12" t="inlineStr">
        <is>
          <t>Croatia</t>
        </is>
      </c>
      <c r="B18" s="13" t="n">
        <v>5.9</v>
      </c>
      <c r="C18" s="14" t="n">
        <v>15</v>
      </c>
      <c r="D18" s="13" t="n">
        <v>6</v>
      </c>
      <c r="E18" s="14" t="n">
        <v>14</v>
      </c>
      <c r="F18" s="13" t="n">
        <v>5.8</v>
      </c>
      <c r="G18" s="14" t="n">
        <v>14</v>
      </c>
      <c r="H18" s="13" t="n">
        <v>6.23</v>
      </c>
      <c r="I18" s="14" t="n">
        <v>7</v>
      </c>
      <c r="J18" s="13" t="n">
        <v>6.13</v>
      </c>
      <c r="K18" s="14" t="n">
        <v>13</v>
      </c>
    </row>
    <row r="19">
      <c r="A19" s="12" t="inlineStr">
        <is>
          <t>Italy</t>
        </is>
      </c>
      <c r="B19" s="13" t="n">
        <v>5.86</v>
      </c>
      <c r="C19" s="14" t="n">
        <v>16</v>
      </c>
      <c r="D19" s="13" t="n">
        <v>5.82</v>
      </c>
      <c r="E19" s="14" t="n">
        <v>17</v>
      </c>
      <c r="F19" s="13" t="n">
        <v>5.52</v>
      </c>
      <c r="G19" s="14" t="n">
        <v>24</v>
      </c>
      <c r="H19" s="13" t="n">
        <v>5.82</v>
      </c>
      <c r="I19" s="14" t="n">
        <v>17</v>
      </c>
      <c r="J19" s="13" t="n">
        <v>6.34</v>
      </c>
      <c r="K19" s="14" t="n">
        <v>8</v>
      </c>
    </row>
    <row r="20">
      <c r="A20" s="12" t="inlineStr">
        <is>
          <t>Greece</t>
        </is>
      </c>
      <c r="B20" s="13" t="n">
        <v>5.85</v>
      </c>
      <c r="C20" s="14" t="n">
        <v>17</v>
      </c>
      <c r="D20" s="13" t="n">
        <v>6.15</v>
      </c>
      <c r="E20" s="14" t="n">
        <v>11</v>
      </c>
      <c r="F20" s="13" t="n">
        <v>5.67</v>
      </c>
      <c r="G20" s="14" t="n">
        <v>18</v>
      </c>
      <c r="H20" s="13" t="n">
        <v>6.01</v>
      </c>
      <c r="I20" s="14" t="n">
        <v>13</v>
      </c>
      <c r="J20" s="13" t="n">
        <v>6.16</v>
      </c>
      <c r="K20" s="14" t="n">
        <v>11</v>
      </c>
    </row>
    <row r="21">
      <c r="A21" s="12" t="inlineStr">
        <is>
          <t>Panama</t>
        </is>
      </c>
      <c r="B21" s="13" t="n">
        <v>5.61</v>
      </c>
      <c r="C21" s="14" t="n">
        <v>18</v>
      </c>
      <c r="D21" s="13" t="n">
        <v>5.82</v>
      </c>
      <c r="E21" s="14" t="n">
        <v>18</v>
      </c>
      <c r="F21" s="13" t="n">
        <v>5.8</v>
      </c>
      <c r="G21" s="14" t="n">
        <v>15</v>
      </c>
      <c r="H21" s="13" t="n">
        <v>5.79</v>
      </c>
      <c r="I21" s="14" t="n">
        <v>18</v>
      </c>
      <c r="J21" s="13" t="n">
        <v>5.55</v>
      </c>
      <c r="K21" s="14" t="n">
        <v>23</v>
      </c>
    </row>
    <row r="22">
      <c r="A22" s="12" t="inlineStr">
        <is>
          <t>Slovenia</t>
        </is>
      </c>
      <c r="B22" s="13" t="n">
        <v>5.56</v>
      </c>
      <c r="C22" s="14" t="n">
        <v>19</v>
      </c>
      <c r="D22" s="13" t="n">
        <v>5.41</v>
      </c>
      <c r="E22" s="14" t="n">
        <v>25</v>
      </c>
      <c r="F22" s="13" t="n">
        <v>5.31</v>
      </c>
      <c r="G22" s="14" t="n">
        <v>30</v>
      </c>
      <c r="H22" s="13" t="n">
        <v>5.9</v>
      </c>
      <c r="I22" s="14" t="n">
        <v>15</v>
      </c>
      <c r="J22" s="13" t="n">
        <v>5.61</v>
      </c>
      <c r="K22" s="14" t="n">
        <v>20</v>
      </c>
    </row>
    <row r="23">
      <c r="A23" s="12" t="inlineStr">
        <is>
          <t>Armenia</t>
        </is>
      </c>
      <c r="B23" s="13" t="n">
        <v>5.53</v>
      </c>
      <c r="C23" s="14" t="n">
        <v>20</v>
      </c>
      <c r="D23" s="13" t="n">
        <v>6.29</v>
      </c>
      <c r="E23" s="14" t="n">
        <v>6</v>
      </c>
      <c r="F23" s="13" t="n">
        <v>5.63</v>
      </c>
      <c r="G23" s="14" t="n">
        <v>22</v>
      </c>
      <c r="H23" s="13" t="n">
        <v>5.55</v>
      </c>
      <c r="I23" s="14" t="n">
        <v>24</v>
      </c>
      <c r="J23" s="13" t="n">
        <v>5.56</v>
      </c>
      <c r="K23" s="14" t="n">
        <v>22</v>
      </c>
    </row>
    <row r="24">
      <c r="A24" s="12" t="inlineStr">
        <is>
          <t>Cyprus</t>
        </is>
      </c>
      <c r="B24" s="13" t="n">
        <v>5.5</v>
      </c>
      <c r="C24" s="14" t="n">
        <v>21</v>
      </c>
      <c r="D24" s="13" t="n">
        <v>5.41</v>
      </c>
      <c r="E24" s="14" t="n">
        <v>24</v>
      </c>
      <c r="F24" s="13" t="n">
        <v>5.37</v>
      </c>
      <c r="G24" s="14" t="n">
        <v>27</v>
      </c>
      <c r="H24" s="13" t="n">
        <v>5.7</v>
      </c>
      <c r="I24" s="14" t="n">
        <v>20</v>
      </c>
      <c r="J24" s="13" t="n">
        <v>5.51</v>
      </c>
      <c r="K24" s="14" t="n">
        <v>24</v>
      </c>
    </row>
    <row r="25">
      <c r="A25" s="12" t="inlineStr">
        <is>
          <t>Bulgaria</t>
        </is>
      </c>
      <c r="B25" s="13" t="n">
        <v>5.48</v>
      </c>
      <c r="C25" s="14" t="n">
        <v>22</v>
      </c>
      <c r="D25" s="13" t="n">
        <v>5.38</v>
      </c>
      <c r="E25" s="14" t="n">
        <v>27</v>
      </c>
      <c r="F25" s="13" t="n">
        <v>5.62</v>
      </c>
      <c r="G25" s="14" t="n">
        <v>23</v>
      </c>
      <c r="H25" s="13" t="n">
        <v>5.53</v>
      </c>
      <c r="I25" s="14" t="n">
        <v>26</v>
      </c>
      <c r="J25" s="13" t="n">
        <v>5.44</v>
      </c>
      <c r="K25" s="14" t="n">
        <v>25</v>
      </c>
    </row>
    <row r="26">
      <c r="A26" s="12" t="inlineStr">
        <is>
          <t>Montenegro</t>
        </is>
      </c>
      <c r="B26" s="13" t="n">
        <v>5.46</v>
      </c>
      <c r="C26" s="14" t="n">
        <v>23</v>
      </c>
      <c r="D26" s="13" t="n">
        <v>5.93</v>
      </c>
      <c r="E26" s="14" t="n">
        <v>15</v>
      </c>
      <c r="F26" s="13" t="n">
        <v>5.51</v>
      </c>
      <c r="G26" s="14" t="n">
        <v>25</v>
      </c>
      <c r="H26" s="13" t="n">
        <v>5.65</v>
      </c>
      <c r="I26" s="14" t="n">
        <v>21</v>
      </c>
      <c r="J26" s="13" t="n">
        <v>5.6</v>
      </c>
      <c r="K26" s="14" t="n">
        <v>21</v>
      </c>
    </row>
    <row r="27">
      <c r="A27" s="12" t="inlineStr">
        <is>
          <t>Romania</t>
        </is>
      </c>
      <c r="B27" s="13" t="n">
        <v>5.41</v>
      </c>
      <c r="C27" s="14" t="n">
        <v>24</v>
      </c>
      <c r="D27" s="13" t="n">
        <v>5.49</v>
      </c>
      <c r="E27" s="14" t="n">
        <v>22</v>
      </c>
      <c r="F27" s="13" t="n">
        <v>5.51</v>
      </c>
      <c r="G27" s="14" t="n">
        <v>26</v>
      </c>
      <c r="H27" s="13" t="n">
        <v>5.51</v>
      </c>
      <c r="I27" s="14" t="n">
        <v>27</v>
      </c>
      <c r="J27" s="13" t="n">
        <v>5.34</v>
      </c>
      <c r="K27" s="14" t="n">
        <v>26</v>
      </c>
    </row>
    <row r="28">
      <c r="A28" s="12" t="inlineStr">
        <is>
          <t>Vietnam</t>
        </is>
      </c>
      <c r="B28" s="13" t="n">
        <v>5.41</v>
      </c>
      <c r="C28" s="14" t="n">
        <v>25</v>
      </c>
      <c r="D28" s="13" t="n">
        <v>5.15</v>
      </c>
      <c r="E28" s="14" t="n">
        <v>31</v>
      </c>
      <c r="F28" s="13" t="n">
        <v>5.65</v>
      </c>
      <c r="G28" s="14" t="n">
        <v>21</v>
      </c>
      <c r="H28" s="13" t="n">
        <v>5.63</v>
      </c>
      <c r="I28" s="14" t="n">
        <v>22</v>
      </c>
      <c r="J28" s="13" t="n">
        <v>5.72</v>
      </c>
      <c r="K28" s="14" t="n">
        <v>19</v>
      </c>
    </row>
    <row r="29">
      <c r="A29" s="12" t="inlineStr">
        <is>
          <t>Kazakhstan</t>
        </is>
      </c>
      <c r="B29" s="13" t="n">
        <v>5.39</v>
      </c>
      <c r="C29" s="14" t="n">
        <v>26</v>
      </c>
      <c r="D29" s="13" t="n">
        <v>5.71</v>
      </c>
      <c r="E29" s="14" t="n">
        <v>19</v>
      </c>
      <c r="F29" s="13" t="n">
        <v>5.67</v>
      </c>
      <c r="G29" s="14" t="n">
        <v>19</v>
      </c>
      <c r="H29" s="13" t="n">
        <v>5.31</v>
      </c>
      <c r="I29" s="14" t="n">
        <v>31</v>
      </c>
      <c r="J29" s="13" t="n">
        <v>5.01</v>
      </c>
      <c r="K29" s="14" t="n">
        <v>31</v>
      </c>
    </row>
    <row r="30">
      <c r="A30" s="12" t="inlineStr">
        <is>
          <t>Philippines</t>
        </is>
      </c>
      <c r="B30" s="13" t="n">
        <v>5.36</v>
      </c>
      <c r="C30" s="14" t="n">
        <v>27</v>
      </c>
      <c r="D30" s="13" t="n">
        <v>4.97</v>
      </c>
      <c r="E30" s="14" t="n">
        <v>32</v>
      </c>
      <c r="F30" s="13" t="n">
        <v>5.7</v>
      </c>
      <c r="G30" s="14" t="n">
        <v>16</v>
      </c>
      <c r="H30" s="13" t="n">
        <v>5.33</v>
      </c>
      <c r="I30" s="14" t="n">
        <v>30</v>
      </c>
      <c r="J30" s="13" t="n">
        <v>5.27</v>
      </c>
      <c r="K30" s="14" t="n">
        <v>27</v>
      </c>
    </row>
    <row r="31">
      <c r="A31" s="12" t="inlineStr">
        <is>
          <t>Bali (Indonesia)</t>
        </is>
      </c>
      <c r="B31" s="13" t="n">
        <v>5.34</v>
      </c>
      <c r="C31" s="14" t="n">
        <v>28</v>
      </c>
      <c r="D31" s="13" t="n">
        <v>5.21</v>
      </c>
      <c r="E31" s="14" t="n">
        <v>29</v>
      </c>
      <c r="F31" s="13" t="n">
        <v>5.68</v>
      </c>
      <c r="G31" s="14" t="n">
        <v>17</v>
      </c>
      <c r="H31" s="13" t="n">
        <v>5.46</v>
      </c>
      <c r="I31" s="14" t="n">
        <v>28</v>
      </c>
      <c r="J31" s="13" t="n">
        <v>5.79</v>
      </c>
      <c r="K31" s="14" t="n">
        <v>18</v>
      </c>
    </row>
    <row r="32">
      <c r="A32" s="12" t="inlineStr">
        <is>
          <t>Hungary</t>
        </is>
      </c>
      <c r="B32" s="13" t="n">
        <v>5.26</v>
      </c>
      <c r="C32" s="14" t="n">
        <v>29</v>
      </c>
      <c r="D32" s="13" t="n">
        <v>5.17</v>
      </c>
      <c r="E32" s="14" t="n">
        <v>30</v>
      </c>
      <c r="F32" s="13" t="n">
        <v>5.26</v>
      </c>
      <c r="G32" s="14" t="n">
        <v>31</v>
      </c>
      <c r="H32" s="13" t="n">
        <v>5.54</v>
      </c>
      <c r="I32" s="14" t="n">
        <v>25</v>
      </c>
      <c r="J32" s="13" t="n">
        <v>5.23</v>
      </c>
      <c r="K32" s="14" t="n">
        <v>28</v>
      </c>
    </row>
    <row r="33">
      <c r="A33" s="12" t="inlineStr">
        <is>
          <t>Malta</t>
        </is>
      </c>
      <c r="B33" s="13" t="n">
        <v>5.21</v>
      </c>
      <c r="C33" s="14" t="n">
        <v>30</v>
      </c>
      <c r="D33" s="13" t="n">
        <v>4.93</v>
      </c>
      <c r="E33" s="14" t="n">
        <v>33</v>
      </c>
      <c r="F33" s="13" t="n">
        <v>5.17</v>
      </c>
      <c r="G33" s="14" t="n">
        <v>32</v>
      </c>
      <c r="H33" s="13" t="n">
        <v>5.58</v>
      </c>
      <c r="I33" s="14" t="n">
        <v>23</v>
      </c>
      <c r="J33" s="13" t="n">
        <v>5.12</v>
      </c>
      <c r="K33" s="14" t="n">
        <v>29</v>
      </c>
    </row>
    <row r="34">
      <c r="A34" s="12" t="inlineStr">
        <is>
          <t>North Macedonia</t>
        </is>
      </c>
      <c r="B34" s="13" t="n">
        <v>5.1</v>
      </c>
      <c r="C34" s="14" t="n">
        <v>31</v>
      </c>
      <c r="D34" s="13" t="n">
        <v>5.39</v>
      </c>
      <c r="E34" s="14" t="n">
        <v>26</v>
      </c>
      <c r="F34" s="13" t="n">
        <v>5.37</v>
      </c>
      <c r="G34" s="14" t="n">
        <v>28</v>
      </c>
      <c r="H34" s="13" t="n">
        <v>5.3</v>
      </c>
      <c r="I34" s="14" t="n">
        <v>32</v>
      </c>
      <c r="J34" s="13" t="n">
        <v>5.09</v>
      </c>
      <c r="K34" s="14" t="n">
        <v>30</v>
      </c>
    </row>
    <row r="35">
      <c r="A35" s="12" t="inlineStr">
        <is>
          <t>Kyrgyzstan</t>
        </is>
      </c>
      <c r="B35" s="13" t="n">
        <v>4.98</v>
      </c>
      <c r="C35" s="14" t="n">
        <v>32</v>
      </c>
      <c r="D35" s="13" t="n">
        <v>5.51</v>
      </c>
      <c r="E35" s="14" t="n">
        <v>21</v>
      </c>
      <c r="F35" s="13" t="n">
        <v>5.35</v>
      </c>
      <c r="G35" s="14" t="n">
        <v>29</v>
      </c>
      <c r="H35" s="13" t="n">
        <v>4.84</v>
      </c>
      <c r="I35" s="14" t="n">
        <v>35</v>
      </c>
      <c r="J35" s="13" t="n">
        <v>4.97</v>
      </c>
      <c r="K35" s="14" t="n">
        <v>33</v>
      </c>
    </row>
    <row r="36">
      <c r="A36" s="12" t="inlineStr">
        <is>
          <t>Qatar</t>
        </is>
      </c>
      <c r="B36" s="13" t="n">
        <v>4.93</v>
      </c>
      <c r="C36" s="14" t="n">
        <v>33</v>
      </c>
      <c r="D36" s="13" t="n">
        <v>4.62</v>
      </c>
      <c r="E36" s="14" t="n">
        <v>34</v>
      </c>
      <c r="F36" s="13" t="n">
        <v>5.06</v>
      </c>
      <c r="G36" s="14" t="n">
        <v>34</v>
      </c>
      <c r="H36" s="13" t="n">
        <v>5.38</v>
      </c>
      <c r="I36" s="14" t="n">
        <v>29</v>
      </c>
      <c r="J36" s="13" t="n">
        <v>4.6</v>
      </c>
      <c r="K36" s="14" t="n">
        <v>35</v>
      </c>
    </row>
    <row r="37">
      <c r="A37" s="12" t="inlineStr">
        <is>
          <t>Albania</t>
        </is>
      </c>
      <c r="B37" s="13" t="n">
        <v>4.85</v>
      </c>
      <c r="C37" s="14" t="n">
        <v>34</v>
      </c>
      <c r="D37" s="13" t="n">
        <v>5.23</v>
      </c>
      <c r="E37" s="14" t="n">
        <v>28</v>
      </c>
      <c r="F37" s="13" t="n">
        <v>4.97</v>
      </c>
      <c r="G37" s="14" t="n">
        <v>36</v>
      </c>
      <c r="H37" s="13" t="n">
        <v>5.13</v>
      </c>
      <c r="I37" s="14" t="n">
        <v>33</v>
      </c>
      <c r="J37" s="13" t="n">
        <v>5</v>
      </c>
      <c r="K37" s="14" t="n">
        <v>32</v>
      </c>
    </row>
    <row r="38">
      <c r="A38" s="12" t="inlineStr">
        <is>
          <t>Bahrain</t>
        </is>
      </c>
      <c r="B38" s="13" t="n">
        <v>4.69</v>
      </c>
      <c r="C38" s="14" t="n">
        <v>35</v>
      </c>
      <c r="D38" s="13" t="n">
        <v>4.49</v>
      </c>
      <c r="E38" s="14" t="n">
        <v>36</v>
      </c>
      <c r="F38" s="13" t="n">
        <v>5.07</v>
      </c>
      <c r="G38" s="14" t="n">
        <v>33</v>
      </c>
      <c r="H38" s="13" t="n">
        <v>4.94</v>
      </c>
      <c r="I38" s="14" t="n">
        <v>34</v>
      </c>
      <c r="J38" s="13" t="n">
        <v>4.36</v>
      </c>
      <c r="K38" s="14" t="n">
        <v>36</v>
      </c>
    </row>
    <row r="39">
      <c r="A39" s="12" t="inlineStr">
        <is>
          <t>Sri Lanka</t>
        </is>
      </c>
      <c r="B39" s="13" t="n">
        <v>4.58</v>
      </c>
      <c r="C39" s="14" t="n">
        <v>36</v>
      </c>
      <c r="D39" s="13" t="n">
        <v>4.6</v>
      </c>
      <c r="E39" s="14" t="n">
        <v>35</v>
      </c>
      <c r="F39" s="13" t="n">
        <v>5</v>
      </c>
      <c r="G39" s="14" t="n">
        <v>35</v>
      </c>
      <c r="H39" s="13" t="n">
        <v>4.6</v>
      </c>
      <c r="I39" s="14" t="n">
        <v>36</v>
      </c>
      <c r="J39" s="13" t="n">
        <v>4.68</v>
      </c>
      <c r="K39" s="14" t="n">
        <v>34</v>
      </c>
    </row>
  </sheetData>
  <conditionalFormatting sqref="B4:B3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:D3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:F3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:H3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:J3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40" customWidth="1" min="4" max="4"/>
  </cols>
  <sheetData>
    <row r="1">
      <c r="A1" s="11" t="inlineStr">
        <is>
          <t>Candidates excluded before scoring</t>
        </is>
      </c>
    </row>
    <row r="3">
      <c r="A3" s="3" t="inlineStr">
        <is>
          <t>Country</t>
        </is>
      </c>
      <c r="B3" s="3" t="inlineStr">
        <is>
          <t>Region</t>
        </is>
      </c>
      <c r="C3" s="3" t="inlineStr">
        <is>
          <t>Failed filter(s)</t>
        </is>
      </c>
      <c r="D3" s="3" t="inlineStr">
        <is>
          <t>Note</t>
        </is>
      </c>
    </row>
    <row r="4">
      <c r="A4" s="15" t="inlineStr">
        <is>
          <t>New Zealand</t>
        </is>
      </c>
      <c r="B4" s="16" t="inlineStr">
        <is>
          <t>Oceania</t>
        </is>
      </c>
      <c r="C4" s="16" t="inlineStr">
        <is>
          <t>Realistic residence path exists for the applicant's passport (digital nomad / passive income / job-seeker); Reachable within ~24h of travel from home hub</t>
        </is>
      </c>
      <c r="D4" s="16" t="inlineStr">
        <is>
          <t>No residence route for the applicant's passport without a job offer or study; &gt;24h travel from home hub.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7" t="inlineStr">
        <is>
          <t>Where to relocate: scoring 36 countries for a couple</t>
        </is>
      </c>
    </row>
    <row r="2">
      <c r="A2" s="18" t="inlineStr"/>
    </row>
    <row r="3">
      <c r="A3" s="18" t="inlineStr">
        <is>
          <t>PROFILE: A couple (no kids yet), both hold a single restricting passport, English C1/B1. Mixed work: one remote, one looking locally / freelance. Comfortable budget ~$4-5k/month for two. Mediterranean climate strongly preferred. Kids on the horizon, so schooling and pediatrics carry medium weight.</t>
        </is>
      </c>
    </row>
    <row r="4">
      <c r="A4" s="18" t="inlineStr"/>
    </row>
    <row r="5">
      <c r="A5" s="18" t="inlineStr">
        <is>
          <t>HOW TO USE: edit the yellow weight row on the 'Scoring' sheet — TOTAL and RANK recompute automatically.</t>
        </is>
      </c>
    </row>
    <row r="6">
      <c r="A6" s="18" t="inlineStr"/>
    </row>
    <row r="7">
      <c r="A7" s="19" t="inlineStr">
        <is>
          <t>CRITERIA &amp; ANCHORS (1–3 weak / 4–6 acceptable / 7–10 strong):</t>
        </is>
      </c>
    </row>
    <row r="8">
      <c r="A8" s="18" t="inlineStr">
        <is>
          <t>A1. Residence path for remote worker / passive income  (domain: Visa &amp; Legalization, weight 8.0)</t>
        </is>
      </c>
    </row>
    <row r="9">
      <c r="A9" s="18" t="inlineStr">
        <is>
          <t xml:space="preserve">     source: Official immigration portals; Global Citizen Solutions; Citizen Remote</t>
        </is>
      </c>
    </row>
    <row r="10">
      <c r="A10" s="18" t="inlineStr">
        <is>
          <t>A2. Path to permanent residence / citizenship  (domain: Visa &amp; Legalization, weight 4.0)</t>
        </is>
      </c>
    </row>
    <row r="11">
      <c r="A11" s="18" t="inlineStr">
        <is>
          <t xml:space="preserve">     source: Official immigration portals</t>
        </is>
      </c>
    </row>
    <row r="12">
      <c r="A12" s="18" t="inlineStr">
        <is>
          <t>A3. Partner's right to live and work  (domain: Visa &amp; Legalization, weight 4.0)</t>
        </is>
      </c>
    </row>
    <row r="13">
      <c r="A13" s="18" t="inlineStr">
        <is>
          <t xml:space="preserve">     source: Official immigration portals</t>
        </is>
      </c>
    </row>
    <row r="14">
      <c r="A14" s="18" t="inlineStr">
        <is>
          <t>B1. Cost of living (couple, ex-rent)  (domain: Money &amp; Taxes, weight 7.0)</t>
        </is>
      </c>
    </row>
    <row r="15">
      <c r="A15" s="18" t="inlineStr">
        <is>
          <t xml:space="preserve">     source: Numbeo Cost of Living; Expatistan</t>
        </is>
      </c>
    </row>
    <row r="16">
      <c r="A16" s="18" t="inlineStr">
        <is>
          <t>B2. Taxes on foreign / remote income  (domain: Money &amp; Taxes, weight 5.0)</t>
        </is>
      </c>
    </row>
    <row r="17">
      <c r="A17" s="18" t="inlineStr">
        <is>
          <t xml:space="preserve">     source: PwC Tax Summaries; local tax authority</t>
        </is>
      </c>
    </row>
    <row r="18">
      <c r="A18" s="18" t="inlineStr">
        <is>
          <t>B3. Rent (1-2 bed, decent area)  (domain: Money &amp; Taxes, weight 5.0)</t>
        </is>
      </c>
    </row>
    <row r="19">
      <c r="A19" s="18" t="inlineStr">
        <is>
          <t xml:space="preserve">     source: Numbeo Rent Index; Expatistan</t>
        </is>
      </c>
    </row>
    <row r="20">
      <c r="A20" s="18" t="inlineStr">
        <is>
          <t>C1. Personal safety (crime)  (domain: Quality of Life, weight 4.0)</t>
        </is>
      </c>
    </row>
    <row r="21">
      <c r="A21" s="18" t="inlineStr">
        <is>
          <t xml:space="preserve">     source: Numbeo Safety Index; Global Peace Index</t>
        </is>
      </c>
    </row>
    <row r="22">
      <c r="A22" s="18" t="inlineStr">
        <is>
          <t>C2. Healthcare (access + quality)  (domain: Quality of Life, weight 6.0)</t>
        </is>
      </c>
    </row>
    <row r="23">
      <c r="A23" s="18" t="inlineStr">
        <is>
          <t xml:space="preserve">     source: WHO; Numbeo Health Index</t>
        </is>
      </c>
    </row>
    <row r="24">
      <c r="A24" s="18" t="inlineStr">
        <is>
          <t>C3. Climate (Mediterranean preferred)  (domain: Quality of Life, weight 5.0)</t>
        </is>
      </c>
    </row>
    <row r="25">
      <c r="A25" s="18" t="inlineStr">
        <is>
          <t xml:space="preserve">     source: Climate normals; Numbeo Climate Index</t>
        </is>
      </c>
    </row>
    <row r="26">
      <c r="A26" s="18" t="inlineStr">
        <is>
          <t>C4. Environment / air quality  (domain: Quality of Life, weight 2.0)</t>
        </is>
      </c>
    </row>
    <row r="27">
      <c r="A27" s="18" t="inlineStr">
        <is>
          <t xml:space="preserve">     source: Numbeo Pollution Index; IQAir/AQI</t>
        </is>
      </c>
    </row>
    <row r="28">
      <c r="A28" s="18" t="inlineStr">
        <is>
          <t>C5. Political stability  (domain: Quality of Life, weight 3.0)</t>
        </is>
      </c>
    </row>
    <row r="29">
      <c r="A29" s="18" t="inlineStr">
        <is>
          <t xml:space="preserve">     source: World Bank Political Stability index; EIU Democracy Index; Freedom House</t>
        </is>
      </c>
    </row>
    <row r="30">
      <c r="A30" s="18" t="inlineStr">
        <is>
          <t>C6. Geopolitical risk (3-5 yr horizon)  (domain: Quality of Life, weight 4.0)</t>
        </is>
      </c>
    </row>
    <row r="31">
      <c r="A31" s="18" t="inlineStr">
        <is>
          <t xml:space="preserve">     source: NATO/CSTO membership; conflict history; public risk analysis</t>
        </is>
      </c>
    </row>
    <row r="32">
      <c r="A32" s="18" t="inlineStr">
        <is>
          <t>D1. Cultural closeness  (domain: Society &amp; Culture, weight 3.0)</t>
        </is>
      </c>
    </row>
    <row r="33">
      <c r="A33" s="18" t="inlineStr">
        <is>
          <t xml:space="preserve">     source: World Values Survey / Inglehart-Welzel map</t>
        </is>
      </c>
    </row>
    <row r="34">
      <c r="A34" s="18" t="inlineStr">
        <is>
          <t>D2. Friendliness toward migrants  (domain: Society &amp; Culture, weight 3.0)</t>
        </is>
      </c>
    </row>
    <row r="35">
      <c r="A35" s="18" t="inlineStr">
        <is>
          <t xml:space="preserve">     source: WVS; InterNations Expat Insider</t>
        </is>
      </c>
    </row>
    <row r="36">
      <c r="A36" s="18" t="inlineStr">
        <is>
          <t>D3. Language barrier (given EN C1/B1)  (domain: Society &amp; Culture, weight 2.0)</t>
        </is>
      </c>
    </row>
    <row r="37">
      <c r="A37" s="18" t="inlineStr">
        <is>
          <t xml:space="preserve">     source: EF English Proficiency Index</t>
        </is>
      </c>
    </row>
    <row r="38">
      <c r="A38" s="18" t="inlineStr">
        <is>
          <t>D4. Russian-speaking community  (domain: Society &amp; Culture, weight 1.0)</t>
        </is>
      </c>
    </row>
    <row r="39">
      <c r="A39" s="18" t="inlineStr">
        <is>
          <t xml:space="preserve">     source: Community estimates</t>
        </is>
      </c>
    </row>
    <row r="40">
      <c r="A40" s="18" t="inlineStr">
        <is>
          <t>E1. Job market / freelance opportunities  (domain: Career &amp; Work, weight 9.0)</t>
        </is>
      </c>
    </row>
    <row r="41">
      <c r="A41" s="18" t="inlineStr">
        <is>
          <t xml:space="preserve">     source: Labor market reports; expat job boards</t>
        </is>
      </c>
    </row>
    <row r="42">
      <c r="A42" s="18" t="inlineStr">
        <is>
          <t>E2. Diploma recognition / hiring ease  (domain: Career &amp; Work, weight 6.0)</t>
        </is>
      </c>
    </row>
    <row r="43">
      <c r="A43" s="18" t="inlineStr">
        <is>
          <t xml:space="preserve">     source: Official recognition frameworks</t>
        </is>
      </c>
    </row>
    <row r="44">
      <c r="A44" s="18" t="inlineStr">
        <is>
          <t>F1. Distance from home hub  (domain: Logistics, weight 3.0)</t>
        </is>
      </c>
    </row>
    <row r="45">
      <c r="A45" s="18" t="inlineStr">
        <is>
          <t xml:space="preserve">     source: Rome2rio travel times / routes</t>
        </is>
      </c>
    </row>
    <row r="46">
      <c r="A46" s="18" t="inlineStr">
        <is>
          <t>F2. Travel connectivity (ease of trips, travel visas)  (domain: Logistics, weight 2.0)</t>
        </is>
      </c>
    </row>
    <row r="47">
      <c r="A47" s="18" t="inlineStr">
        <is>
          <t xml:space="preserve">     source: Passport index; flight connectivity</t>
        </is>
      </c>
    </row>
    <row r="48">
      <c r="A48" s="18" t="inlineStr">
        <is>
          <t>G1. Food (quality, variety, availability)  (domain: Lifestyle, weight 4.0)</t>
        </is>
      </c>
    </row>
    <row r="49">
      <c r="A49" s="18" t="inlineStr">
        <is>
          <t xml:space="preserve">     source: Author assessment</t>
        </is>
      </c>
    </row>
    <row r="50">
      <c r="A50" s="18" t="inlineStr">
        <is>
          <t>G2. Population density comfort  (domain: Lifestyle, weight 2.0)</t>
        </is>
      </c>
    </row>
    <row r="51">
      <c r="A51" s="18" t="inlineStr">
        <is>
          <t xml:space="preserve">     source: Population density data</t>
        </is>
      </c>
    </row>
    <row r="52">
      <c r="A52" s="18" t="inlineStr">
        <is>
          <t>G3. Entertainment / leisure  (domain: Lifestyle, weight 4.0)</t>
        </is>
      </c>
    </row>
    <row r="53">
      <c r="A53" s="18" t="inlineStr">
        <is>
          <t xml:space="preserve">     source: Author assessment</t>
        </is>
      </c>
    </row>
    <row r="54">
      <c r="A54" s="18" t="inlineStr">
        <is>
          <t>G4. Nature &amp; domestic travel  (domain: Lifestyle, weight 4.0)</t>
        </is>
      </c>
    </row>
    <row r="55">
      <c r="A55" s="18" t="inlineStr">
        <is>
          <t xml:space="preserve">     source: Author assessment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2026-07-09T08:14:04Z</dcterms:created>
  <dcterms:modified xsi:type="dcterms:W3CDTF">2026-07-09T08:14:04Z</dcterms:modified>
</cp:coreProperties>
</file>